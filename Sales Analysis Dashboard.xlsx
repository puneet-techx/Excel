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Projects\Excel\"/>
    </mc:Choice>
  </mc:AlternateContent>
  <xr:revisionPtr revIDLastSave="0" documentId="13_ncr:1_{5E1E7941-7E6F-4431-83D4-103DDE483C98}" xr6:coauthVersionLast="47" xr6:coauthVersionMax="47" xr10:uidLastSave="{00000000-0000-0000-0000-000000000000}"/>
  <bookViews>
    <workbookView xWindow="-110" yWindow="-110" windowWidth="19420" windowHeight="10300" tabRatio="714" firstSheet="4" activeTab="4" xr2:uid="{00000000-000D-0000-FFFF-FFFF00000000}"/>
  </bookViews>
  <sheets>
    <sheet name="FIRM WISE" sheetId="2" state="hidden" r:id="rId1"/>
    <sheet name="MONTH WISE" sheetId="4" state="hidden" r:id="rId2"/>
    <sheet name="TAX WISE" sheetId="5" state="hidden" r:id="rId3"/>
    <sheet name="PRODUCT WISE" sheetId="6" state="hidden" r:id="rId4"/>
    <sheet name="Form_wise" sheetId="8" r:id="rId5"/>
    <sheet name="Month_wise" sheetId="9" r:id="rId6"/>
    <sheet name="Tax_wise" sheetId="11" r:id="rId7"/>
    <sheet name="Product_wise" sheetId="12" r:id="rId8"/>
    <sheet name="State_wise" sheetId="13" r:id="rId9"/>
    <sheet name="DASHBOARD" sheetId="14" r:id="rId10"/>
    <sheet name="DATA" sheetId="1" r:id="rId11"/>
  </sheets>
  <definedNames>
    <definedName name="Slicer_Description_of_Goods">#N/A</definedName>
    <definedName name="Slicer_Firm_Name">#N/A</definedName>
    <definedName name="Slicer_Months__Date">#N/A</definedName>
    <definedName name="Slicer_State">#N/A</definedName>
    <definedName name="Slicer_Tax_Rat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<sst xmlns="http://schemas.openxmlformats.org/spreadsheetml/2006/main" count="208" uniqueCount="35">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</sst>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sz val="11"/>
      <color theme="1"/>
      <name val="Calibri"/>
      <family val="2"/>
      <scheme val="minor"/>
    </font>
    <font>
      <sz val="12"/>
      <color theme="1"/>
      <name val="Calibri"/>
      <family val="2"/>
      <scheme val="minor"/>
    </font>
    <font>
      <b/>
      <sz val="14"/>
      <color theme="0"/>
      <name val="Calibri"/>
      <family val="2"/>
      <scheme val="minor"/>
    </font>
    <font>
      <sz val="11"/>
      <color theme="8" tint="0.39997558519241921"/>
      <name val="Calibri"/>
      <family val="2"/>
      <scheme val="minor"/>
    </font>
  </fonts>
  <fills count="6">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0" tint="-0.14999847407452621"/>
        <bgColor indexed="64"/>
      </patternFill>
    </fill>
  </fills>
  <borders count="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1" fillId="2" borderId="0" applyNumberFormat="0" applyBorder="0" applyAlignment="0" applyProtection="0"/>
  </cellStyleXfs>
  <cellXfs count="30">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10" fontId="0" fillId="0" borderId="0" xfId="0" applyNumberFormat="1" applyAlignment="1">
      <alignment horizontal="left"/>
    </xf>
    <xf numFmtId="0" fontId="2" fillId="4" borderId="1" xfId="1" applyFont="1" applyFill="1" applyBorder="1" applyAlignment="1">
      <alignment horizontal="center" vertical="center"/>
    </xf>
    <xf numFmtId="14" fontId="2" fillId="4" borderId="1" xfId="1" applyNumberFormat="1" applyFont="1" applyFill="1" applyBorder="1" applyAlignment="1">
      <alignment horizontal="center" vertical="center"/>
    </xf>
    <xf numFmtId="10" fontId="2" fillId="4" borderId="1" xfId="1" applyNumberFormat="1" applyFont="1" applyFill="1" applyBorder="1" applyAlignment="1">
      <alignment horizontal="center" vertical="center"/>
    </xf>
    <xf numFmtId="4" fontId="2" fillId="4" borderId="1" xfId="1" applyNumberFormat="1" applyFont="1" applyFill="1" applyBorder="1" applyAlignment="1">
      <alignment horizontal="center" vertical="center"/>
    </xf>
    <xf numFmtId="4" fontId="2" fillId="4" borderId="1" xfId="0" applyNumberFormat="1" applyFont="1" applyFill="1" applyBorder="1"/>
    <xf numFmtId="4" fontId="2" fillId="4" borderId="1" xfId="1" applyNumberFormat="1" applyFont="1" applyFill="1" applyBorder="1"/>
    <xf numFmtId="0" fontId="2" fillId="2" borderId="1" xfId="1" applyFont="1" applyBorder="1" applyAlignment="1">
      <alignment horizontal="center" vertical="center"/>
    </xf>
    <xf numFmtId="14" fontId="2" fillId="2" borderId="1" xfId="1" applyNumberFormat="1" applyFont="1" applyBorder="1" applyAlignment="1">
      <alignment horizontal="center" vertical="center"/>
    </xf>
    <xf numFmtId="10" fontId="2" fillId="2" borderId="1" xfId="1" applyNumberFormat="1" applyFont="1" applyBorder="1" applyAlignment="1">
      <alignment horizontal="center" vertical="center"/>
    </xf>
    <xf numFmtId="4" fontId="2" fillId="2" borderId="1" xfId="1" applyNumberFormat="1" applyFont="1" applyBorder="1" applyAlignment="1">
      <alignment horizontal="center" vertical="center"/>
    </xf>
    <xf numFmtId="4" fontId="2" fillId="0" borderId="1" xfId="0" applyNumberFormat="1" applyFont="1" applyBorder="1"/>
    <xf numFmtId="4" fontId="2" fillId="2" borderId="1" xfId="1" applyNumberFormat="1" applyFont="1" applyBorder="1"/>
    <xf numFmtId="10" fontId="2" fillId="4" borderId="1" xfId="1" applyNumberFormat="1" applyFont="1" applyFill="1" applyBorder="1" applyAlignment="1">
      <alignment horizontal="center"/>
    </xf>
    <xf numFmtId="0" fontId="2" fillId="4" borderId="1" xfId="1" applyFont="1" applyFill="1" applyBorder="1" applyAlignment="1">
      <alignment horizontal="center"/>
    </xf>
    <xf numFmtId="10" fontId="2" fillId="2" borderId="1" xfId="1" applyNumberFormat="1" applyFont="1" applyBorder="1" applyAlignment="1">
      <alignment horizontal="center"/>
    </xf>
    <xf numFmtId="0" fontId="2" fillId="2" borderId="1" xfId="1" applyFont="1" applyBorder="1" applyAlignment="1">
      <alignment horizontal="center"/>
    </xf>
    <xf numFmtId="0" fontId="2" fillId="4" borderId="2" xfId="1" applyFont="1" applyFill="1" applyBorder="1" applyAlignment="1">
      <alignment horizontal="center" vertical="center"/>
    </xf>
    <xf numFmtId="0" fontId="2" fillId="2" borderId="2" xfId="1" applyFont="1" applyBorder="1" applyAlignment="1">
      <alignment horizontal="center" vertical="center"/>
    </xf>
    <xf numFmtId="9" fontId="3" fillId="3" borderId="0" xfId="0" applyNumberFormat="1" applyFont="1" applyFill="1" applyBorder="1" applyAlignment="1">
      <alignment horizontal="center" vertical="center"/>
    </xf>
    <xf numFmtId="9" fontId="3" fillId="3" borderId="3" xfId="0" applyNumberFormat="1" applyFont="1" applyFill="1" applyBorder="1" applyAlignment="1">
      <alignment horizontal="center" vertical="center"/>
    </xf>
    <xf numFmtId="10" fontId="3" fillId="3" borderId="3" xfId="0" applyNumberFormat="1" applyFont="1" applyFill="1" applyBorder="1" applyAlignment="1">
      <alignment horizontal="center" vertical="center"/>
    </xf>
    <xf numFmtId="164" fontId="3" fillId="3" borderId="3" xfId="0" applyNumberFormat="1" applyFont="1" applyFill="1" applyBorder="1" applyAlignment="1">
      <alignment horizontal="center" vertical="center"/>
    </xf>
    <xf numFmtId="0" fontId="0" fillId="5" borderId="0" xfId="0" applyFill="1"/>
    <xf numFmtId="0" fontId="4" fillId="5" borderId="0" xfId="0" applyFont="1" applyFill="1"/>
  </cellXfs>
  <cellStyles count="2">
    <cellStyle name="40% - Accent6" xfId="1" builtinId="51"/>
    <cellStyle name="Normal" xfId="0" builtinId="0"/>
  </cellStyles>
  <dxfs count="32">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9" formatCode="dd/mm/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4"/>
        <color theme="0"/>
        <name val="Calibri"/>
        <family val="2"/>
        <scheme val="minor"/>
      </font>
      <numFmt numFmtId="164" formatCode="[$-409]d\-mmm\-yy;@"/>
      <fill>
        <patternFill patternType="solid">
          <fgColor indexed="64"/>
          <bgColor rgb="FFFFC0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Dashboard.xlsx]Form_wise!PivotTable1</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latin typeface="Algerian" panose="04020705040A02060702" pitchFamily="82" charset="0"/>
              </a:rPr>
              <a:t>Form_Wise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Form_wise!$B$3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5DE-43C3-9D1E-DF6EF49162D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5DE-43C3-9D1E-DF6EF49162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Form_wise!$A$4:$A$5</c:f>
              <c:strCache>
                <c:ptCount val="1"/>
                <c:pt idx="0">
                  <c:v>JK Enterprise</c:v>
                </c:pt>
              </c:strCache>
            </c:strRef>
          </c:cat>
          <c:val>
            <c:numRef>
              <c:f>Form_wise!$B$4:$B$5</c:f>
              <c:numCache>
                <c:formatCode>General</c:formatCode>
                <c:ptCount val="1"/>
                <c:pt idx="0">
                  <c:v>69743.25</c:v>
                </c:pt>
              </c:numCache>
            </c:numRef>
          </c:val>
          <c:extLst>
            <c:ext xmlns:c16="http://schemas.microsoft.com/office/drawing/2014/chart" uri="{C3380CC4-5D6E-409C-BE32-E72D297353CC}">
              <c16:uniqueId val="{00000004-15DE-43C3-9D1E-DF6EF49162D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Dashboard.xlsx]Month_wise!PivotTable2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lgerian" panose="04020705040A02060702" pitchFamily="82" charset="0"/>
              </a:rPr>
              <a:t>Month_Wise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Month_wise!$B$3</c:f>
              <c:strCache>
                <c:ptCount val="1"/>
                <c:pt idx="0">
                  <c:v>Total</c:v>
                </c:pt>
              </c:strCache>
            </c:strRef>
          </c:tx>
          <c:spPr>
            <a:solidFill>
              <a:schemeClr val="accent1"/>
            </a:solidFill>
            <a:ln>
              <a:noFill/>
            </a:ln>
            <a:effectLst/>
            <a:sp3d/>
          </c:spPr>
          <c:invertIfNegative val="0"/>
          <c:cat>
            <c:strRef>
              <c:f>Month_wise!$A$4:$A$5</c:f>
              <c:strCache>
                <c:ptCount val="1"/>
                <c:pt idx="0">
                  <c:v>Jul</c:v>
                </c:pt>
              </c:strCache>
            </c:strRef>
          </c:cat>
          <c:val>
            <c:numRef>
              <c:f>Month_wise!$B$4:$B$5</c:f>
              <c:numCache>
                <c:formatCode>General</c:formatCode>
                <c:ptCount val="1"/>
                <c:pt idx="0">
                  <c:v>69743.25</c:v>
                </c:pt>
              </c:numCache>
            </c:numRef>
          </c:val>
          <c:extLst>
            <c:ext xmlns:c16="http://schemas.microsoft.com/office/drawing/2014/chart" uri="{C3380CC4-5D6E-409C-BE32-E72D297353CC}">
              <c16:uniqueId val="{00000000-FA53-404E-B883-D5D82C220264}"/>
            </c:ext>
          </c:extLst>
        </c:ser>
        <c:dLbls>
          <c:showLegendKey val="0"/>
          <c:showVal val="0"/>
          <c:showCatName val="0"/>
          <c:showSerName val="0"/>
          <c:showPercent val="0"/>
          <c:showBubbleSize val="0"/>
        </c:dLbls>
        <c:gapWidth val="150"/>
        <c:shape val="box"/>
        <c:axId val="681087328"/>
        <c:axId val="681088288"/>
        <c:axId val="0"/>
      </c:bar3DChart>
      <c:catAx>
        <c:axId val="681087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88288"/>
        <c:crosses val="autoZero"/>
        <c:auto val="1"/>
        <c:lblAlgn val="ctr"/>
        <c:lblOffset val="100"/>
        <c:noMultiLvlLbl val="0"/>
      </c:catAx>
      <c:valAx>
        <c:axId val="681088288"/>
        <c:scaling>
          <c:orientation val="minMax"/>
        </c:scaling>
        <c:delete val="1"/>
        <c:axPos val="l"/>
        <c:numFmt formatCode="General" sourceLinked="1"/>
        <c:majorTickMark val="none"/>
        <c:minorTickMark val="none"/>
        <c:tickLblPos val="nextTo"/>
        <c:crossAx val="681087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Dashboard.xlsx]Tax_wise!PivotTable4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latin typeface="Algerian" panose="04020705040A02060702" pitchFamily="82" charset="0"/>
              </a:rPr>
              <a:t>Tax_Wise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Tax_wise!$B$3</c:f>
              <c:strCache>
                <c:ptCount val="1"/>
                <c:pt idx="0">
                  <c:v>Count of CESS</c:v>
                </c:pt>
              </c:strCache>
            </c:strRef>
          </c:tx>
          <c:spPr>
            <a:solidFill>
              <a:schemeClr val="accent1"/>
            </a:solidFill>
            <a:ln>
              <a:noFill/>
            </a:ln>
            <a:effectLst/>
            <a:sp3d/>
          </c:spPr>
          <c:invertIfNegative val="0"/>
          <c:cat>
            <c:strRef>
              <c:f>Tax_wise!$A$4:$A$8</c:f>
              <c:strCache>
                <c:ptCount val="4"/>
                <c:pt idx="0">
                  <c:v>0.00%</c:v>
                </c:pt>
                <c:pt idx="1">
                  <c:v>3.00%</c:v>
                </c:pt>
                <c:pt idx="2">
                  <c:v>5.00%</c:v>
                </c:pt>
                <c:pt idx="3">
                  <c:v>12.00%</c:v>
                </c:pt>
              </c:strCache>
            </c:strRef>
          </c:cat>
          <c:val>
            <c:numRef>
              <c:f>Tax_wise!$B$4:$B$8</c:f>
              <c:numCache>
                <c:formatCode>General</c:formatCode>
                <c:ptCount val="4"/>
              </c:numCache>
            </c:numRef>
          </c:val>
          <c:extLst>
            <c:ext xmlns:c16="http://schemas.microsoft.com/office/drawing/2014/chart" uri="{C3380CC4-5D6E-409C-BE32-E72D297353CC}">
              <c16:uniqueId val="{00000000-8093-4569-87F9-DD8EED63C364}"/>
            </c:ext>
          </c:extLst>
        </c:ser>
        <c:ser>
          <c:idx val="1"/>
          <c:order val="1"/>
          <c:tx>
            <c:strRef>
              <c:f>Tax_wise!$C$3</c:f>
              <c:strCache>
                <c:ptCount val="1"/>
                <c:pt idx="0">
                  <c:v>Sum of SGST</c:v>
                </c:pt>
              </c:strCache>
            </c:strRef>
          </c:tx>
          <c:spPr>
            <a:solidFill>
              <a:schemeClr val="accent2"/>
            </a:solidFill>
            <a:ln>
              <a:noFill/>
            </a:ln>
            <a:effectLst/>
            <a:sp3d/>
          </c:spPr>
          <c:invertIfNegative val="0"/>
          <c:cat>
            <c:strRef>
              <c:f>Tax_wise!$A$4:$A$8</c:f>
              <c:strCache>
                <c:ptCount val="4"/>
                <c:pt idx="0">
                  <c:v>0.00%</c:v>
                </c:pt>
                <c:pt idx="1">
                  <c:v>3.00%</c:v>
                </c:pt>
                <c:pt idx="2">
                  <c:v>5.00%</c:v>
                </c:pt>
                <c:pt idx="3">
                  <c:v>12.00%</c:v>
                </c:pt>
              </c:strCache>
            </c:strRef>
          </c:cat>
          <c:val>
            <c:numRef>
              <c:f>Tax_wise!$C$4:$C$8</c:f>
              <c:numCache>
                <c:formatCode>General</c:formatCode>
                <c:ptCount val="4"/>
                <c:pt idx="0">
                  <c:v>0</c:v>
                </c:pt>
                <c:pt idx="1">
                  <c:v>167.25</c:v>
                </c:pt>
                <c:pt idx="2">
                  <c:v>808.375</c:v>
                </c:pt>
                <c:pt idx="3">
                  <c:v>1003.5</c:v>
                </c:pt>
              </c:numCache>
            </c:numRef>
          </c:val>
          <c:extLst>
            <c:ext xmlns:c16="http://schemas.microsoft.com/office/drawing/2014/chart" uri="{C3380CC4-5D6E-409C-BE32-E72D297353CC}">
              <c16:uniqueId val="{00000001-8093-4569-87F9-DD8EED63C364}"/>
            </c:ext>
          </c:extLst>
        </c:ser>
        <c:ser>
          <c:idx val="2"/>
          <c:order val="2"/>
          <c:tx>
            <c:strRef>
              <c:f>Tax_wise!$D$3</c:f>
              <c:strCache>
                <c:ptCount val="1"/>
                <c:pt idx="0">
                  <c:v>Sum of CGST</c:v>
                </c:pt>
              </c:strCache>
            </c:strRef>
          </c:tx>
          <c:spPr>
            <a:solidFill>
              <a:schemeClr val="accent3"/>
            </a:solidFill>
            <a:ln>
              <a:noFill/>
            </a:ln>
            <a:effectLst/>
            <a:sp3d/>
          </c:spPr>
          <c:invertIfNegative val="0"/>
          <c:cat>
            <c:strRef>
              <c:f>Tax_wise!$A$4:$A$8</c:f>
              <c:strCache>
                <c:ptCount val="4"/>
                <c:pt idx="0">
                  <c:v>0.00%</c:v>
                </c:pt>
                <c:pt idx="1">
                  <c:v>3.00%</c:v>
                </c:pt>
                <c:pt idx="2">
                  <c:v>5.00%</c:v>
                </c:pt>
                <c:pt idx="3">
                  <c:v>12.00%</c:v>
                </c:pt>
              </c:strCache>
            </c:strRef>
          </c:cat>
          <c:val>
            <c:numRef>
              <c:f>Tax_wise!$D$4:$D$8</c:f>
              <c:numCache>
                <c:formatCode>General</c:formatCode>
                <c:ptCount val="4"/>
                <c:pt idx="0">
                  <c:v>0</c:v>
                </c:pt>
                <c:pt idx="1">
                  <c:v>167.25</c:v>
                </c:pt>
                <c:pt idx="2">
                  <c:v>808.375</c:v>
                </c:pt>
                <c:pt idx="3">
                  <c:v>1003.5</c:v>
                </c:pt>
              </c:numCache>
            </c:numRef>
          </c:val>
          <c:extLst>
            <c:ext xmlns:c16="http://schemas.microsoft.com/office/drawing/2014/chart" uri="{C3380CC4-5D6E-409C-BE32-E72D297353CC}">
              <c16:uniqueId val="{00000002-8093-4569-87F9-DD8EED63C364}"/>
            </c:ext>
          </c:extLst>
        </c:ser>
        <c:ser>
          <c:idx val="3"/>
          <c:order val="3"/>
          <c:tx>
            <c:strRef>
              <c:f>Tax_wise!$E$3</c:f>
              <c:strCache>
                <c:ptCount val="1"/>
                <c:pt idx="0">
                  <c:v>Sum of IGST</c:v>
                </c:pt>
              </c:strCache>
            </c:strRef>
          </c:tx>
          <c:spPr>
            <a:solidFill>
              <a:schemeClr val="accent4"/>
            </a:solidFill>
            <a:ln>
              <a:noFill/>
            </a:ln>
            <a:effectLst/>
            <a:sp3d/>
          </c:spPr>
          <c:invertIfNegative val="0"/>
          <c:cat>
            <c:strRef>
              <c:f>Tax_wise!$A$4:$A$8</c:f>
              <c:strCache>
                <c:ptCount val="4"/>
                <c:pt idx="0">
                  <c:v>0.00%</c:v>
                </c:pt>
                <c:pt idx="1">
                  <c:v>3.00%</c:v>
                </c:pt>
                <c:pt idx="2">
                  <c:v>5.00%</c:v>
                </c:pt>
                <c:pt idx="3">
                  <c:v>12.00%</c:v>
                </c:pt>
              </c:strCache>
            </c:strRef>
          </c:cat>
          <c:val>
            <c:numRef>
              <c:f>Tax_wise!$E$4:$E$8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8093-4569-87F9-DD8EED63C364}"/>
            </c:ext>
          </c:extLst>
        </c:ser>
        <c:ser>
          <c:idx val="4"/>
          <c:order val="4"/>
          <c:tx>
            <c:strRef>
              <c:f>Tax_wise!$F$3</c:f>
              <c:strCache>
                <c:ptCount val="1"/>
                <c:pt idx="0">
                  <c:v>Sum of TOTAL</c:v>
                </c:pt>
              </c:strCache>
            </c:strRef>
          </c:tx>
          <c:spPr>
            <a:solidFill>
              <a:schemeClr val="accent5"/>
            </a:solidFill>
            <a:ln>
              <a:noFill/>
            </a:ln>
            <a:effectLst/>
            <a:sp3d/>
          </c:spPr>
          <c:invertIfNegative val="0"/>
          <c:cat>
            <c:strRef>
              <c:f>Tax_wise!$A$4:$A$8</c:f>
              <c:strCache>
                <c:ptCount val="4"/>
                <c:pt idx="0">
                  <c:v>0.00%</c:v>
                </c:pt>
                <c:pt idx="1">
                  <c:v>3.00%</c:v>
                </c:pt>
                <c:pt idx="2">
                  <c:v>5.00%</c:v>
                </c:pt>
                <c:pt idx="3">
                  <c:v>12.00%</c:v>
                </c:pt>
              </c:strCache>
            </c:strRef>
          </c:cat>
          <c:val>
            <c:numRef>
              <c:f>Tax_wise!$F$4:$F$8</c:f>
              <c:numCache>
                <c:formatCode>General</c:formatCode>
                <c:ptCount val="4"/>
                <c:pt idx="0">
                  <c:v>5575</c:v>
                </c:pt>
                <c:pt idx="1">
                  <c:v>11484.5</c:v>
                </c:pt>
                <c:pt idx="2">
                  <c:v>33951.75</c:v>
                </c:pt>
                <c:pt idx="3">
                  <c:v>18732</c:v>
                </c:pt>
              </c:numCache>
            </c:numRef>
          </c:val>
          <c:extLst>
            <c:ext xmlns:c16="http://schemas.microsoft.com/office/drawing/2014/chart" uri="{C3380CC4-5D6E-409C-BE32-E72D297353CC}">
              <c16:uniqueId val="{00000004-8093-4569-87F9-DD8EED63C364}"/>
            </c:ext>
          </c:extLst>
        </c:ser>
        <c:dLbls>
          <c:showLegendKey val="0"/>
          <c:showVal val="0"/>
          <c:showCatName val="0"/>
          <c:showSerName val="0"/>
          <c:showPercent val="0"/>
          <c:showBubbleSize val="0"/>
        </c:dLbls>
        <c:gapWidth val="150"/>
        <c:shape val="box"/>
        <c:axId val="801438848"/>
        <c:axId val="801449888"/>
        <c:axId val="0"/>
      </c:bar3DChart>
      <c:catAx>
        <c:axId val="801438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49888"/>
        <c:crosses val="autoZero"/>
        <c:auto val="1"/>
        <c:lblAlgn val="ctr"/>
        <c:lblOffset val="100"/>
        <c:noMultiLvlLbl val="0"/>
      </c:catAx>
      <c:valAx>
        <c:axId val="801449888"/>
        <c:scaling>
          <c:orientation val="minMax"/>
        </c:scaling>
        <c:delete val="1"/>
        <c:axPos val="l"/>
        <c:numFmt formatCode="General" sourceLinked="1"/>
        <c:majorTickMark val="none"/>
        <c:minorTickMark val="none"/>
        <c:tickLblPos val="nextTo"/>
        <c:crossAx val="80143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Dashboard.xlsx]Product_wise!PivotTable5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Product_Wise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Product_wise!$B$3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AA-4EAB-8AB8-8A881A4F40C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AA-4EAB-8AB8-8A881A4F40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Product_wise!$A$4:$A$6</c:f>
              <c:strCache>
                <c:ptCount val="2"/>
                <c:pt idx="0">
                  <c:v>Plywood 4mm</c:v>
                </c:pt>
                <c:pt idx="1">
                  <c:v>Plywood 6mm</c:v>
                </c:pt>
              </c:strCache>
            </c:strRef>
          </c:cat>
          <c:val>
            <c:numRef>
              <c:f>Product_wise!$B$4:$B$6</c:f>
              <c:numCache>
                <c:formatCode>General</c:formatCode>
                <c:ptCount val="2"/>
                <c:pt idx="0">
                  <c:v>39526.75</c:v>
                </c:pt>
                <c:pt idx="1">
                  <c:v>30216.5</c:v>
                </c:pt>
              </c:numCache>
            </c:numRef>
          </c:val>
          <c:extLst>
            <c:ext xmlns:c16="http://schemas.microsoft.com/office/drawing/2014/chart" uri="{C3380CC4-5D6E-409C-BE32-E72D297353CC}">
              <c16:uniqueId val="{00000004-1DAA-4EAB-8AB8-8A881A4F40C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Dashboard.xlsx]State_wise!PivotTable6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latin typeface="Algerian" panose="04020705040A02060702" pitchFamily="82" charset="0"/>
              </a:rPr>
              <a:t>State_Wise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State_wise!$B$3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State_wise!$A$4:$A$5</c:f>
              <c:strCache>
                <c:ptCount val="1"/>
                <c:pt idx="0">
                  <c:v>Local</c:v>
                </c:pt>
              </c:strCache>
            </c:strRef>
          </c:cat>
          <c:val>
            <c:numRef>
              <c:f>State_wise!$B$4:$B$5</c:f>
              <c:numCache>
                <c:formatCode>General</c:formatCode>
                <c:ptCount val="1"/>
                <c:pt idx="0">
                  <c:v>69743.25</c:v>
                </c:pt>
              </c:numCache>
            </c:numRef>
          </c:val>
          <c:extLst>
            <c:ext xmlns:c16="http://schemas.microsoft.com/office/drawing/2014/chart" uri="{C3380CC4-5D6E-409C-BE32-E72D297353CC}">
              <c16:uniqueId val="{00000000-3D66-459D-99CF-A8FCD369BA0B}"/>
            </c:ext>
          </c:extLst>
        </c:ser>
        <c:dLbls>
          <c:showLegendKey val="0"/>
          <c:showVal val="1"/>
          <c:showCatName val="0"/>
          <c:showSerName val="0"/>
          <c:showPercent val="0"/>
          <c:showBubbleSize val="0"/>
        </c:dLbls>
        <c:gapWidth val="150"/>
        <c:shape val="box"/>
        <c:axId val="863120672"/>
        <c:axId val="863130272"/>
        <c:axId val="0"/>
      </c:bar3DChart>
      <c:catAx>
        <c:axId val="86312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3130272"/>
        <c:crosses val="autoZero"/>
        <c:auto val="1"/>
        <c:lblAlgn val="ctr"/>
        <c:lblOffset val="100"/>
        <c:noMultiLvlLbl val="0"/>
      </c:catAx>
      <c:valAx>
        <c:axId val="863130272"/>
        <c:scaling>
          <c:orientation val="minMax"/>
        </c:scaling>
        <c:delete val="1"/>
        <c:axPos val="b"/>
        <c:numFmt formatCode="General" sourceLinked="1"/>
        <c:majorTickMark val="none"/>
        <c:minorTickMark val="none"/>
        <c:tickLblPos val="nextTo"/>
        <c:crossAx val="863120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12700</xdr:colOff>
      <xdr:row>3</xdr:row>
      <xdr:rowOff>6350</xdr:rowOff>
    </xdr:from>
    <xdr:to>
      <xdr:col>6</xdr:col>
      <xdr:colOff>596900</xdr:colOff>
      <xdr:row>14</xdr:row>
      <xdr:rowOff>9137</xdr:rowOff>
    </xdr:to>
    <xdr:graphicFrame macro="">
      <xdr:nvGraphicFramePr>
        <xdr:cNvPr id="2" name="Chart 1">
          <a:extLst>
            <a:ext uri="{FF2B5EF4-FFF2-40B4-BE49-F238E27FC236}">
              <a16:creationId xmlns:a16="http://schemas.microsoft.com/office/drawing/2014/main" id="{94940B55-781E-4369-B142-03E793BBF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2009</xdr:colOff>
      <xdr:row>3</xdr:row>
      <xdr:rowOff>6351</xdr:rowOff>
    </xdr:from>
    <xdr:to>
      <xdr:col>11</xdr:col>
      <xdr:colOff>520700</xdr:colOff>
      <xdr:row>13</xdr:row>
      <xdr:rowOff>173597</xdr:rowOff>
    </xdr:to>
    <xdr:graphicFrame macro="">
      <xdr:nvGraphicFramePr>
        <xdr:cNvPr id="3" name="Chart 2">
          <a:extLst>
            <a:ext uri="{FF2B5EF4-FFF2-40B4-BE49-F238E27FC236}">
              <a16:creationId xmlns:a16="http://schemas.microsoft.com/office/drawing/2014/main" id="{8A1A4FBA-B16D-4699-BFEC-D79BDDCD0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14288</xdr:colOff>
      <xdr:row>13</xdr:row>
      <xdr:rowOff>182733</xdr:rowOff>
    </xdr:from>
    <xdr:to>
      <xdr:col>8</xdr:col>
      <xdr:colOff>598366</xdr:colOff>
      <xdr:row>26</xdr:row>
      <xdr:rowOff>10762</xdr:rowOff>
    </xdr:to>
    <xdr:graphicFrame macro="">
      <xdr:nvGraphicFramePr>
        <xdr:cNvPr id="4" name="Chart 3">
          <a:extLst>
            <a:ext uri="{FF2B5EF4-FFF2-40B4-BE49-F238E27FC236}">
              <a16:creationId xmlns:a16="http://schemas.microsoft.com/office/drawing/2014/main" id="{934F714E-D2DC-48FC-BF12-07900E7D9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506412</xdr:colOff>
      <xdr:row>3</xdr:row>
      <xdr:rowOff>9922</xdr:rowOff>
    </xdr:from>
    <xdr:to>
      <xdr:col>17</xdr:col>
      <xdr:colOff>343242</xdr:colOff>
      <xdr:row>14</xdr:row>
      <xdr:rowOff>1191</xdr:rowOff>
    </xdr:to>
    <xdr:graphicFrame macro="">
      <xdr:nvGraphicFramePr>
        <xdr:cNvPr id="5" name="Chart 4">
          <a:extLst>
            <a:ext uri="{FF2B5EF4-FFF2-40B4-BE49-F238E27FC236}">
              <a16:creationId xmlns:a16="http://schemas.microsoft.com/office/drawing/2014/main" id="{F87A109C-E9FB-4687-84AC-2F4814F9C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603747</xdr:colOff>
      <xdr:row>13</xdr:row>
      <xdr:rowOff>176743</xdr:rowOff>
    </xdr:from>
    <xdr:to>
      <xdr:col>17</xdr:col>
      <xdr:colOff>340741</xdr:colOff>
      <xdr:row>26</xdr:row>
      <xdr:rowOff>8279</xdr:rowOff>
    </xdr:to>
    <xdr:graphicFrame macro="">
      <xdr:nvGraphicFramePr>
        <xdr:cNvPr id="6" name="Chart 5">
          <a:extLst>
            <a:ext uri="{FF2B5EF4-FFF2-40B4-BE49-F238E27FC236}">
              <a16:creationId xmlns:a16="http://schemas.microsoft.com/office/drawing/2014/main" id="{2FDFDC61-59B7-4C40-A375-CB4490CDD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354605</xdr:colOff>
      <xdr:row>3</xdr:row>
      <xdr:rowOff>3561</xdr:rowOff>
    </xdr:from>
    <xdr:to>
      <xdr:col>20</xdr:col>
      <xdr:colOff>17163</xdr:colOff>
      <xdr:row>14</xdr:row>
      <xdr:rowOff>120884</xdr:rowOff>
    </xdr:to>
    <mc:AlternateContent xmlns:mc="http://schemas.openxmlformats.org/markup-compatibility/2006" xmlns:a14="http://schemas.microsoft.com/office/drawing/2010/main">
      <mc:Choice Requires="a14">
        <xdr:graphicFrame macro="">
          <xdr:nvGraphicFramePr>
            <xdr:cNvPr id="7" name="Firm Name ">
              <a:extLst>
                <a:ext uri="{FF2B5EF4-FFF2-40B4-BE49-F238E27FC236}">
                  <a16:creationId xmlns:a16="http://schemas.microsoft.com/office/drawing/2014/main" id="{E39884D0-AB07-3886-D6E1-4C3DC9183321}"/>
                </a:ext>
              </a:extLst>
            </xdr:cNvPr>
            <xdr:cNvGraphicFramePr/>
          </xdr:nvGraphicFramePr>
          <xdr:xfrm>
            <a:off x="0" y="0"/>
            <a:ext cx="0" cy="0"/>
          </xdr:xfrm>
          <a:graphic>
            <a:graphicData uri="http://schemas.microsoft.com/office/drawing/2010/slicer">
              <sle:slicer xmlns:sle="http://schemas.microsoft.com/office/drawing/2010/slicer" name="Firm Name "/>
            </a:graphicData>
          </a:graphic>
        </xdr:graphicFrame>
      </mc:Choice>
      <mc:Fallback xmlns="">
        <xdr:sp macro="" textlink="">
          <xdr:nvSpPr>
            <xdr:cNvPr id="0" name=""/>
            <xdr:cNvSpPr>
              <a:spLocks noTextEdit="1"/>
            </xdr:cNvSpPr>
          </xdr:nvSpPr>
          <xdr:spPr>
            <a:xfrm>
              <a:off x="10643589" y="569108"/>
              <a:ext cx="1478262" cy="2190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352671</xdr:colOff>
      <xdr:row>14</xdr:row>
      <xdr:rowOff>111612</xdr:rowOff>
    </xdr:from>
    <xdr:to>
      <xdr:col>20</xdr:col>
      <xdr:colOff>14746</xdr:colOff>
      <xdr:row>26</xdr:row>
      <xdr:rowOff>17162</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FA6E5843-8477-6AA6-5B01-DFCCFECEAC9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641655" y="2750831"/>
              <a:ext cx="1477779" cy="2167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39447</xdr:rowOff>
    </xdr:from>
    <xdr:to>
      <xdr:col>2</xdr:col>
      <xdr:colOff>11546</xdr:colOff>
      <xdr:row>18</xdr:row>
      <xdr:rowOff>178593</xdr:rowOff>
    </xdr:to>
    <mc:AlternateContent xmlns:mc="http://schemas.openxmlformats.org/markup-compatibility/2006" xmlns:a14="http://schemas.microsoft.com/office/drawing/2010/main">
      <mc:Choice Requires="a14">
        <xdr:graphicFrame macro="">
          <xdr:nvGraphicFramePr>
            <xdr:cNvPr id="9" name="Tax Rate">
              <a:extLst>
                <a:ext uri="{FF2B5EF4-FFF2-40B4-BE49-F238E27FC236}">
                  <a16:creationId xmlns:a16="http://schemas.microsoft.com/office/drawing/2014/main" id="{5CE268DC-AFA6-74A7-4FB6-B80999821B0B}"/>
                </a:ext>
              </a:extLst>
            </xdr:cNvPr>
            <xdr:cNvGraphicFramePr/>
          </xdr:nvGraphicFramePr>
          <xdr:xfrm>
            <a:off x="0" y="0"/>
            <a:ext cx="0" cy="0"/>
          </xdr:xfrm>
          <a:graphic>
            <a:graphicData uri="http://schemas.microsoft.com/office/drawing/2010/slicer">
              <sle:slicer xmlns:sle="http://schemas.microsoft.com/office/drawing/2010/slicer" name="Tax Rate"/>
            </a:graphicData>
          </a:graphic>
        </xdr:graphicFrame>
      </mc:Choice>
      <mc:Fallback xmlns="">
        <xdr:sp macro="" textlink="">
          <xdr:nvSpPr>
            <xdr:cNvPr id="0" name=""/>
            <xdr:cNvSpPr>
              <a:spLocks noTextEdit="1"/>
            </xdr:cNvSpPr>
          </xdr:nvSpPr>
          <xdr:spPr>
            <a:xfrm>
              <a:off x="0" y="1547572"/>
              <a:ext cx="1222015" cy="2024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6747</xdr:rowOff>
    </xdr:from>
    <xdr:to>
      <xdr:col>2</xdr:col>
      <xdr:colOff>9922</xdr:colOff>
      <xdr:row>8</xdr:row>
      <xdr:rowOff>33073</xdr:rowOff>
    </xdr:to>
    <mc:AlternateContent xmlns:mc="http://schemas.openxmlformats.org/markup-compatibility/2006" xmlns:a14="http://schemas.microsoft.com/office/drawing/2010/main">
      <mc:Choice Requires="a14">
        <xdr:graphicFrame macro="">
          <xdr:nvGraphicFramePr>
            <xdr:cNvPr id="10" name="Description of Goods">
              <a:extLst>
                <a:ext uri="{FF2B5EF4-FFF2-40B4-BE49-F238E27FC236}">
                  <a16:creationId xmlns:a16="http://schemas.microsoft.com/office/drawing/2014/main" id="{FCE06D22-A5E5-C7C5-B653-27C606D8F194}"/>
                </a:ext>
              </a:extLst>
            </xdr:cNvPr>
            <xdr:cNvGraphicFramePr/>
          </xdr:nvGraphicFramePr>
          <xdr:xfrm>
            <a:off x="0" y="0"/>
            <a:ext cx="0" cy="0"/>
          </xdr:xfrm>
          <a:graphic>
            <a:graphicData uri="http://schemas.microsoft.com/office/drawing/2010/slicer">
              <sle:slicer xmlns:sle="http://schemas.microsoft.com/office/drawing/2010/slicer" name="Description of Goods"/>
            </a:graphicData>
          </a:graphic>
        </xdr:graphicFrame>
      </mc:Choice>
      <mc:Fallback xmlns="">
        <xdr:sp macro="" textlink="">
          <xdr:nvSpPr>
            <xdr:cNvPr id="0" name=""/>
            <xdr:cNvSpPr>
              <a:spLocks noTextEdit="1"/>
            </xdr:cNvSpPr>
          </xdr:nvSpPr>
          <xdr:spPr>
            <a:xfrm>
              <a:off x="0" y="572294"/>
              <a:ext cx="1220391" cy="968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172622</xdr:rowOff>
    </xdr:from>
    <xdr:to>
      <xdr:col>2</xdr:col>
      <xdr:colOff>9922</xdr:colOff>
      <xdr:row>26</xdr:row>
      <xdr:rowOff>19843</xdr:rowOff>
    </xdr:to>
    <mc:AlternateContent xmlns:mc="http://schemas.openxmlformats.org/markup-compatibility/2006" xmlns:a14="http://schemas.microsoft.com/office/drawing/2010/main">
      <mc:Choice Requires="a14">
        <xdr:graphicFrame macro="">
          <xdr:nvGraphicFramePr>
            <xdr:cNvPr id="12" name="Months (Date)">
              <a:extLst>
                <a:ext uri="{FF2B5EF4-FFF2-40B4-BE49-F238E27FC236}">
                  <a16:creationId xmlns:a16="http://schemas.microsoft.com/office/drawing/2014/main" id="{FD5FE0D7-C0D1-E91B-AF27-94A98967582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3565903"/>
              <a:ext cx="1220391" cy="1355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9922</xdr:colOff>
      <xdr:row>0</xdr:row>
      <xdr:rowOff>40705</xdr:rowOff>
    </xdr:from>
    <xdr:ext cx="12104687" cy="534764"/>
    <xdr:sp macro="" textlink="">
      <xdr:nvSpPr>
        <xdr:cNvPr id="13" name="TextBox 12">
          <a:extLst>
            <a:ext uri="{FF2B5EF4-FFF2-40B4-BE49-F238E27FC236}">
              <a16:creationId xmlns:a16="http://schemas.microsoft.com/office/drawing/2014/main" id="{CA1990CC-547A-065D-9000-F4C90DC53E3C}"/>
            </a:ext>
          </a:extLst>
        </xdr:cNvPr>
        <xdr:cNvSpPr txBox="1"/>
      </xdr:nvSpPr>
      <xdr:spPr>
        <a:xfrm>
          <a:off x="9922" y="40705"/>
          <a:ext cx="12104687" cy="534764"/>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400" b="0">
              <a:solidFill>
                <a:srgbClr val="FF0000"/>
              </a:solidFill>
              <a:latin typeface="Algerian" panose="04020705040A02060702" pitchFamily="82" charset="0"/>
            </a:rPr>
            <a:t>SALES</a:t>
          </a:r>
          <a:r>
            <a:rPr lang="en-US" sz="4400" b="0" baseline="0">
              <a:solidFill>
                <a:srgbClr val="FF0000"/>
              </a:solidFill>
              <a:latin typeface="Algerian" panose="04020705040A02060702" pitchFamily="82" charset="0"/>
            </a:rPr>
            <a:t> ANALYSIS DASHBOARD</a:t>
          </a:r>
          <a:endParaRPr lang="en-US" sz="4400" b="0">
            <a:solidFill>
              <a:srgbClr val="FF0000"/>
            </a:solidFill>
            <a:latin typeface="Algerian" panose="04020705040A02060702" pitchFamily="82" charset="0"/>
          </a:endParaRPr>
        </a:p>
      </xdr:txBody>
    </xdr:sp>
    <xdr:clientData/>
  </xdr:one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04.617921296296" createdVersion="8" refreshedVersion="8" minRefreshableVersion="3" recordCount="36" xr:uid="{71F4DED8-6A45-4F40-B6AB-88DE4C290FD6}">
  <cacheSource type="worksheet">
    <worksheetSource name="Sales_data"/>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ount="4">
        <n v="0"/>
        <n v="1393.75"/>
        <n v="8429.4"/>
        <n v="1505.25"/>
      </sharedItems>
    </cacheField>
    <cacheField name="CGST" numFmtId="4">
      <sharedItems containsSemiMixedTypes="0" containsString="0" containsNumber="1" minValue="0" maxValue="7805.0000000000009" count="26">
        <n v="1602"/>
        <n v="200.4"/>
        <n v="167.25"/>
        <n v="0"/>
        <n v="624.40000000000009"/>
        <n v="669"/>
        <n v="16.725000000000001"/>
        <n v="200.7"/>
        <n v="1705.95"/>
        <n v="8.92"/>
        <n v="7805.0000000000009"/>
        <n v="17.84"/>
        <n v="3122.0000000000005"/>
        <n v="2007"/>
        <n v="1728.25"/>
        <n v="3010.5"/>
        <n v="1338"/>
        <n v="5463.5000000000009"/>
        <n v="1003.5"/>
        <n v="418.125"/>
        <n v="1561.0000000000002"/>
        <n v="139.375"/>
        <n v="133.79999999999998"/>
        <n v="278.75"/>
        <n v="55.75"/>
        <n v="3.3450000000000002"/>
      </sharedItems>
    </cacheField>
    <cacheField name="SGST" numFmtId="4">
      <sharedItems containsSemiMixedTypes="0" containsString="0" containsNumber="1" minValue="0" maxValue="7805.0000000000009" count="26">
        <n v="1602"/>
        <n v="200.4"/>
        <n v="167.25"/>
        <n v="0"/>
        <n v="624.40000000000009"/>
        <n v="669"/>
        <n v="16.725000000000001"/>
        <n v="200.7"/>
        <n v="1705.95"/>
        <n v="8.92"/>
        <n v="7805.0000000000009"/>
        <n v="17.84"/>
        <n v="3122.0000000000005"/>
        <n v="2007"/>
        <n v="1728.25"/>
        <n v="3010.5"/>
        <n v="1338"/>
        <n v="5463.5000000000009"/>
        <n v="1003.5"/>
        <n v="418.125"/>
        <n v="1561.0000000000002"/>
        <n v="139.375"/>
        <n v="133.79999999999998"/>
        <n v="278.75"/>
        <n v="55.75"/>
        <n v="3.3450000000000002"/>
      </sharedItems>
    </cacheField>
    <cacheField name="CESS" numFmtId="4">
      <sharedItems containsNonDate="0" containsString="0" containsBlank="1" count="1">
        <m/>
      </sharedItems>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01-04-20"/>
          <s v="Jan"/>
          <s v="Feb"/>
          <s v="Mar"/>
          <s v="Apr"/>
          <s v="May"/>
          <s v="Jun"/>
          <s v="Jul"/>
          <s v="Aug"/>
          <s v="Sep"/>
          <s v="Oct"/>
          <s v="Nov"/>
          <s v="Dec"/>
          <s v="&gt;04-07-21"/>
        </groupItems>
      </fieldGroup>
    </cacheField>
    <cacheField name="Quarters (Date)" numFmtId="0" databaseField="0">
      <fieldGroup base="3">
        <rangePr groupBy="quarters" startDate="2020-04-01T00:00:00" endDate="2021-07-04T00:00:00"/>
        <groupItems count="6">
          <s v="&lt;01-04-20"/>
          <s v="Qtr1"/>
          <s v="Qtr2"/>
          <s v="Qtr3"/>
          <s v="Qtr4"/>
          <s v="&gt;04-07-21"/>
        </groupItems>
      </fieldGroup>
    </cacheField>
    <cacheField name="Years (Date)" numFmtId="0" databaseField="0">
      <fieldGroup base="3">
        <rangePr groupBy="years" startDate="2020-04-01T00:00:00" endDate="2021-07-04T00:00:00"/>
        <groupItems count="4">
          <s v="&lt;01-04-20"/>
          <s v="2020"/>
          <s v="2021"/>
          <s v="&gt;04-07-21"/>
        </groupItems>
      </fieldGroup>
    </cacheField>
  </cacheFields>
  <extLst>
    <ext xmlns:x14="http://schemas.microsoft.com/office/spreadsheetml/2009/9/main" uri="{725AE2AE-9491-48be-B2B4-4EB974FC3084}">
      <x14:pivotCacheDefinition pivotCacheId="358236598"/>
    </ext>
  </extLst>
</pivotCacheDefinition>
</file>

<file path=xl/pivotCache/pivotCacheRecords1.xml><?xml version="1.0" encoding="utf-8"?>
<pivotCacheRecords xmlns="http://schemas.openxmlformats.org/spreadsheetml/2006/main" xmlns:r="http://schemas.openxmlformats.org/officeDocument/2006/relationships"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x v="0"/>
    <x v="0"/>
    <x v="0"/>
    <x v="0"/>
    <n v="21004"/>
    <n v="21004"/>
  </r>
  <r>
    <x v="0"/>
    <x v="0"/>
    <n v="24"/>
    <x v="1"/>
    <x v="1"/>
    <x v="1"/>
    <n v="2"/>
    <s v="PCS"/>
    <n v="1670"/>
    <n v="3340"/>
    <x v="0"/>
    <x v="1"/>
    <x v="1"/>
    <x v="0"/>
    <n v="3740.8"/>
    <n v="3740.8"/>
  </r>
  <r>
    <x v="0"/>
    <x v="0"/>
    <n v="25"/>
    <x v="2"/>
    <x v="2"/>
    <x v="0"/>
    <n v="10"/>
    <s v="PCS"/>
    <n v="1115"/>
    <n v="11150"/>
    <x v="0"/>
    <x v="2"/>
    <x v="2"/>
    <x v="0"/>
    <n v="11484.5"/>
    <n v="11484.5"/>
  </r>
  <r>
    <x v="0"/>
    <x v="1"/>
    <n v="26"/>
    <x v="3"/>
    <x v="3"/>
    <x v="1"/>
    <n v="3"/>
    <s v="PCS"/>
    <n v="1115"/>
    <n v="3345"/>
    <x v="0"/>
    <x v="3"/>
    <x v="3"/>
    <x v="0"/>
    <n v="3345"/>
    <n v="3345"/>
  </r>
  <r>
    <x v="0"/>
    <x v="0"/>
    <n v="27"/>
    <x v="4"/>
    <x v="4"/>
    <x v="0"/>
    <n v="4"/>
    <s v="PCS"/>
    <n v="1115"/>
    <n v="4460"/>
    <x v="0"/>
    <x v="4"/>
    <x v="4"/>
    <x v="0"/>
    <n v="5708.7999999999993"/>
    <n v="5708.7999999999993"/>
  </r>
  <r>
    <x v="0"/>
    <x v="0"/>
    <n v="28"/>
    <x v="5"/>
    <x v="5"/>
    <x v="1"/>
    <n v="24"/>
    <s v="PCS"/>
    <n v="1115"/>
    <n v="26760"/>
    <x v="0"/>
    <x v="5"/>
    <x v="5"/>
    <x v="0"/>
    <n v="28098"/>
    <n v="28098"/>
  </r>
  <r>
    <x v="0"/>
    <x v="0"/>
    <n v="29"/>
    <x v="6"/>
    <x v="6"/>
    <x v="0"/>
    <n v="30"/>
    <s v="PCS"/>
    <n v="1115"/>
    <n v="33450"/>
    <x v="0"/>
    <x v="6"/>
    <x v="6"/>
    <x v="0"/>
    <n v="33483.449999999997"/>
    <n v="33483.449999999997"/>
  </r>
  <r>
    <x v="0"/>
    <x v="0"/>
    <n v="30"/>
    <x v="7"/>
    <x v="2"/>
    <x v="1"/>
    <n v="12"/>
    <s v="PCS"/>
    <n v="1115"/>
    <n v="13380"/>
    <x v="0"/>
    <x v="7"/>
    <x v="7"/>
    <x v="0"/>
    <n v="13781.400000000001"/>
    <n v="13781.400000000001"/>
  </r>
  <r>
    <x v="1"/>
    <x v="0"/>
    <n v="31"/>
    <x v="8"/>
    <x v="0"/>
    <x v="0"/>
    <n v="17"/>
    <s v="PCS"/>
    <n v="1115"/>
    <n v="18955"/>
    <x v="0"/>
    <x v="8"/>
    <x v="8"/>
    <x v="0"/>
    <n v="22366.9"/>
    <n v="22366.9"/>
  </r>
  <r>
    <x v="1"/>
    <x v="0"/>
    <n v="32"/>
    <x v="9"/>
    <x v="6"/>
    <x v="1"/>
    <n v="16"/>
    <s v="PCS"/>
    <n v="1115"/>
    <n v="17840"/>
    <x v="0"/>
    <x v="9"/>
    <x v="9"/>
    <x v="0"/>
    <n v="17857.839999999997"/>
    <n v="17857.839999999997"/>
  </r>
  <r>
    <x v="1"/>
    <x v="0"/>
    <n v="33"/>
    <x v="10"/>
    <x v="4"/>
    <x v="0"/>
    <n v="50"/>
    <s v="PCS"/>
    <n v="1115"/>
    <n v="55750"/>
    <x v="0"/>
    <x v="10"/>
    <x v="10"/>
    <x v="0"/>
    <n v="71360"/>
    <n v="71360"/>
  </r>
  <r>
    <x v="1"/>
    <x v="0"/>
    <n v="34"/>
    <x v="11"/>
    <x v="3"/>
    <x v="1"/>
    <n v="21"/>
    <s v="PCS"/>
    <n v="1115"/>
    <n v="23415"/>
    <x v="0"/>
    <x v="3"/>
    <x v="3"/>
    <x v="0"/>
    <n v="23415"/>
    <n v="23415"/>
  </r>
  <r>
    <x v="0"/>
    <x v="1"/>
    <n v="35"/>
    <x v="12"/>
    <x v="5"/>
    <x v="0"/>
    <n v="25"/>
    <s v="PCS"/>
    <n v="1115"/>
    <n v="27875"/>
    <x v="1"/>
    <x v="3"/>
    <x v="3"/>
    <x v="0"/>
    <n v="29268.75"/>
    <n v="29268.75"/>
  </r>
  <r>
    <x v="0"/>
    <x v="1"/>
    <n v="36"/>
    <x v="13"/>
    <x v="0"/>
    <x v="1"/>
    <n v="42"/>
    <s v="PCS"/>
    <n v="1115"/>
    <n v="46830"/>
    <x v="2"/>
    <x v="3"/>
    <x v="3"/>
    <x v="0"/>
    <n v="55259.4"/>
    <n v="55259.4"/>
  </r>
  <r>
    <x v="0"/>
    <x v="0"/>
    <n v="37"/>
    <x v="14"/>
    <x v="6"/>
    <x v="0"/>
    <n v="32"/>
    <s v="PCS"/>
    <n v="1115"/>
    <n v="35680"/>
    <x v="0"/>
    <x v="11"/>
    <x v="11"/>
    <x v="0"/>
    <n v="35715.679999999993"/>
    <n v="35715.679999999993"/>
  </r>
  <r>
    <x v="0"/>
    <x v="0"/>
    <n v="38"/>
    <x v="15"/>
    <x v="3"/>
    <x v="1"/>
    <n v="10"/>
    <s v="PCS"/>
    <n v="1115"/>
    <n v="11150"/>
    <x v="0"/>
    <x v="3"/>
    <x v="3"/>
    <x v="0"/>
    <n v="11150"/>
    <n v="11150"/>
  </r>
  <r>
    <x v="0"/>
    <x v="0"/>
    <n v="39"/>
    <x v="16"/>
    <x v="4"/>
    <x v="0"/>
    <n v="20"/>
    <s v="PCS"/>
    <n v="1115"/>
    <n v="22300"/>
    <x v="0"/>
    <x v="12"/>
    <x v="12"/>
    <x v="0"/>
    <n v="28544"/>
    <n v="28544"/>
  </r>
  <r>
    <x v="1"/>
    <x v="0"/>
    <n v="40"/>
    <x v="17"/>
    <x v="1"/>
    <x v="1"/>
    <n v="30"/>
    <s v="PCS"/>
    <n v="1115"/>
    <n v="33450"/>
    <x v="0"/>
    <x v="13"/>
    <x v="13"/>
    <x v="0"/>
    <n v="37464"/>
    <n v="37464"/>
  </r>
  <r>
    <x v="1"/>
    <x v="1"/>
    <n v="41"/>
    <x v="18"/>
    <x v="2"/>
    <x v="0"/>
    <n v="45"/>
    <s v="PCS"/>
    <n v="1115"/>
    <n v="50175"/>
    <x v="3"/>
    <x v="3"/>
    <x v="3"/>
    <x v="0"/>
    <n v="51680.25"/>
    <n v="51680.25"/>
  </r>
  <r>
    <x v="1"/>
    <x v="0"/>
    <n v="42"/>
    <x v="19"/>
    <x v="5"/>
    <x v="1"/>
    <n v="62"/>
    <s v="PCS"/>
    <n v="1115"/>
    <n v="69130"/>
    <x v="0"/>
    <x v="14"/>
    <x v="14"/>
    <x v="0"/>
    <n v="72586.5"/>
    <n v="72586.5"/>
  </r>
  <r>
    <x v="1"/>
    <x v="0"/>
    <n v="43"/>
    <x v="20"/>
    <x v="3"/>
    <x v="0"/>
    <n v="12"/>
    <s v="PCS"/>
    <n v="1115"/>
    <n v="13380"/>
    <x v="0"/>
    <x v="3"/>
    <x v="3"/>
    <x v="0"/>
    <n v="13380"/>
    <n v="13380"/>
  </r>
  <r>
    <x v="1"/>
    <x v="0"/>
    <n v="44"/>
    <x v="21"/>
    <x v="3"/>
    <x v="1"/>
    <n v="25"/>
    <s v="PCS"/>
    <n v="1115"/>
    <n v="27875"/>
    <x v="0"/>
    <x v="3"/>
    <x v="3"/>
    <x v="0"/>
    <n v="27875"/>
    <n v="27875"/>
  </r>
  <r>
    <x v="1"/>
    <x v="0"/>
    <n v="45"/>
    <x v="22"/>
    <x v="1"/>
    <x v="0"/>
    <n v="45"/>
    <s v="PCS"/>
    <n v="1115"/>
    <n v="50175"/>
    <x v="0"/>
    <x v="15"/>
    <x v="15"/>
    <x v="0"/>
    <n v="56196"/>
    <n v="56196"/>
  </r>
  <r>
    <x v="1"/>
    <x v="0"/>
    <n v="46"/>
    <x v="23"/>
    <x v="1"/>
    <x v="1"/>
    <n v="20"/>
    <s v="PCS"/>
    <n v="1115"/>
    <n v="22300"/>
    <x v="0"/>
    <x v="16"/>
    <x v="16"/>
    <x v="0"/>
    <n v="24976"/>
    <n v="24976"/>
  </r>
  <r>
    <x v="1"/>
    <x v="0"/>
    <n v="47"/>
    <x v="24"/>
    <x v="2"/>
    <x v="0"/>
    <n v="10"/>
    <s v="PCS"/>
    <n v="1115"/>
    <n v="11150"/>
    <x v="0"/>
    <x v="2"/>
    <x v="2"/>
    <x v="0"/>
    <n v="11484.5"/>
    <n v="11484.5"/>
  </r>
  <r>
    <x v="0"/>
    <x v="0"/>
    <n v="48"/>
    <x v="25"/>
    <x v="4"/>
    <x v="1"/>
    <n v="35"/>
    <s v="PCS"/>
    <n v="1115"/>
    <n v="39025"/>
    <x v="0"/>
    <x v="17"/>
    <x v="17"/>
    <x v="0"/>
    <n v="49952"/>
    <n v="49952"/>
  </r>
  <r>
    <x v="0"/>
    <x v="0"/>
    <n v="49"/>
    <x v="26"/>
    <x v="1"/>
    <x v="0"/>
    <n v="15"/>
    <s v="PCS"/>
    <n v="1115"/>
    <n v="16725"/>
    <x v="0"/>
    <x v="18"/>
    <x v="18"/>
    <x v="0"/>
    <n v="18732"/>
    <n v="18732"/>
  </r>
  <r>
    <x v="0"/>
    <x v="0"/>
    <n v="50"/>
    <x v="27"/>
    <x v="2"/>
    <x v="1"/>
    <n v="25"/>
    <s v="PCS"/>
    <n v="1115"/>
    <n v="27875"/>
    <x v="0"/>
    <x v="19"/>
    <x v="19"/>
    <x v="0"/>
    <n v="28711.25"/>
    <n v="28711.25"/>
  </r>
  <r>
    <x v="0"/>
    <x v="0"/>
    <n v="51"/>
    <x v="28"/>
    <x v="4"/>
    <x v="0"/>
    <n v="10"/>
    <s v="PCS"/>
    <n v="1115"/>
    <n v="11150"/>
    <x v="0"/>
    <x v="20"/>
    <x v="20"/>
    <x v="0"/>
    <n v="14272"/>
    <n v="14272"/>
  </r>
  <r>
    <x v="0"/>
    <x v="0"/>
    <n v="52"/>
    <x v="29"/>
    <x v="5"/>
    <x v="1"/>
    <n v="5"/>
    <s v="PCS"/>
    <n v="1115"/>
    <n v="5575"/>
    <x v="0"/>
    <x v="21"/>
    <x v="21"/>
    <x v="0"/>
    <n v="5853.75"/>
    <n v="5853.75"/>
  </r>
  <r>
    <x v="1"/>
    <x v="0"/>
    <n v="53"/>
    <x v="30"/>
    <x v="2"/>
    <x v="0"/>
    <n v="8"/>
    <s v="PCS"/>
    <n v="1115"/>
    <n v="8920"/>
    <x v="0"/>
    <x v="22"/>
    <x v="22"/>
    <x v="0"/>
    <n v="9187.5999999999985"/>
    <n v="9187.5999999999985"/>
  </r>
  <r>
    <x v="1"/>
    <x v="0"/>
    <n v="54"/>
    <x v="31"/>
    <x v="5"/>
    <x v="1"/>
    <n v="10"/>
    <s v="PCS"/>
    <n v="1115"/>
    <n v="11150"/>
    <x v="0"/>
    <x v="23"/>
    <x v="23"/>
    <x v="0"/>
    <n v="11707.5"/>
    <n v="11707.5"/>
  </r>
  <r>
    <x v="1"/>
    <x v="0"/>
    <n v="55"/>
    <x v="32"/>
    <x v="5"/>
    <x v="0"/>
    <n v="2"/>
    <s v="PCS"/>
    <n v="1115"/>
    <n v="2230"/>
    <x v="0"/>
    <x v="24"/>
    <x v="24"/>
    <x v="0"/>
    <n v="2341.5"/>
    <n v="2341.5"/>
  </r>
  <r>
    <x v="1"/>
    <x v="0"/>
    <n v="56"/>
    <x v="33"/>
    <x v="4"/>
    <x v="1"/>
    <n v="4"/>
    <s v="PCS"/>
    <n v="1115"/>
    <n v="4460"/>
    <x v="0"/>
    <x v="4"/>
    <x v="4"/>
    <x v="0"/>
    <n v="5708.7999999999993"/>
    <n v="5708.7999999999993"/>
  </r>
  <r>
    <x v="0"/>
    <x v="0"/>
    <n v="57"/>
    <x v="34"/>
    <x v="6"/>
    <x v="0"/>
    <n v="6"/>
    <s v="PCS"/>
    <n v="1115"/>
    <n v="6690"/>
    <x v="0"/>
    <x v="25"/>
    <x v="25"/>
    <x v="0"/>
    <n v="6696.6900000000005"/>
    <n v="6696.6900000000005"/>
  </r>
  <r>
    <x v="0"/>
    <x v="0"/>
    <n v="58"/>
    <x v="35"/>
    <x v="3"/>
    <x v="1"/>
    <n v="5"/>
    <s v="PCS"/>
    <n v="1115"/>
    <n v="5575"/>
    <x v="0"/>
    <x v="3"/>
    <x v="3"/>
    <x v="0"/>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42EB10-952F-4DBE-B9BD-22F3B389F54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9">
    <pivotField name="PT_Firm" axis="axisRow" showAll="0">
      <items count="3">
        <item x="0"/>
        <item h="1" x="1"/>
        <item t="default"/>
      </items>
    </pivotField>
    <pivotField showAll="0">
      <items count="3">
        <item h="1"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h="1" x="6"/>
        <item x="2"/>
        <item x="5"/>
        <item x="1"/>
        <item h="1"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h="1" x="0"/>
        <item h="1" x="1"/>
        <item h="1" x="2"/>
        <item h="1" x="3"/>
        <item h="1" x="4"/>
        <item h="1" x="5"/>
        <item h="1" x="6"/>
        <item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2">
    <i>
      <x/>
    </i>
    <i t="grand">
      <x/>
    </i>
  </rowItems>
  <colItems count="1">
    <i/>
  </colItems>
  <dataFields count="1">
    <dataField name="Sum of TOTAL" fld="14"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375DDC-378F-43DB-976D-E16D696AB3B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9">
    <pivotField showAll="0">
      <items count="3">
        <item x="0"/>
        <item h="1" x="1"/>
        <item t="default"/>
      </items>
    </pivotField>
    <pivotField showAll="0">
      <items count="3">
        <item h="1" x="1"/>
        <item x="0"/>
        <item t="default"/>
      </items>
    </pivotField>
    <pivotField showAll="0"/>
    <pivotField axis="axisRow"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h="1" x="6"/>
        <item x="2"/>
        <item x="5"/>
        <item x="1"/>
        <item h="1"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name="PT_Month" axis="axisRow" showAll="0">
      <items count="15">
        <item h="1" sd="0" x="0"/>
        <item h="1" sd="0" x="1"/>
        <item h="1" sd="0" x="2"/>
        <item h="1" sd="0" x="3"/>
        <item h="1" sd="0" x="4"/>
        <item h="1" sd="0" x="5"/>
        <item h="1" sd="0" x="6"/>
        <item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6"/>
    <field x="3"/>
  </rowFields>
  <rowItems count="2">
    <i>
      <x v="7"/>
    </i>
    <i t="grand">
      <x/>
    </i>
  </rowItems>
  <colItems count="1">
    <i/>
  </colItems>
  <dataFields count="1">
    <dataField name="Sum of TOTAL" fld="1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1AF268-9348-4580-8516-A3B58D0BDED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8" firstHeaderRow="0" firstDataRow="1" firstDataCol="1"/>
  <pivotFields count="19">
    <pivotField showAll="0">
      <items count="3">
        <item x="0"/>
        <item h="1" x="1"/>
        <item t="default"/>
      </items>
    </pivotField>
    <pivotField showAll="0">
      <items count="3">
        <item h="1"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ame="PT_Tax" axis="axisRow" numFmtId="10" showAll="0">
      <items count="8">
        <item x="3"/>
        <item h="1" x="6"/>
        <item x="2"/>
        <item x="5"/>
        <item x="1"/>
        <item h="1" x="0"/>
        <item x="4"/>
        <item t="default"/>
      </items>
    </pivotField>
    <pivotField showAll="0">
      <items count="3">
        <item x="1"/>
        <item x="0"/>
        <item t="default"/>
      </items>
    </pivotField>
    <pivotField showAll="0"/>
    <pivotField showAll="0"/>
    <pivotField numFmtId="4" showAll="0"/>
    <pivotField numFmtId="4" showAll="0"/>
    <pivotField dataField="1" numFmtId="4" showAll="0">
      <items count="5">
        <item x="0"/>
        <item x="1"/>
        <item x="3"/>
        <item x="2"/>
        <item t="default"/>
      </items>
    </pivotField>
    <pivotField dataField="1" numFmtId="4" showAll="0">
      <items count="27">
        <item x="3"/>
        <item x="25"/>
        <item x="9"/>
        <item x="6"/>
        <item x="11"/>
        <item x="24"/>
        <item x="22"/>
        <item x="21"/>
        <item x="2"/>
        <item x="1"/>
        <item x="7"/>
        <item x="23"/>
        <item x="19"/>
        <item x="4"/>
        <item x="5"/>
        <item x="18"/>
        <item x="16"/>
        <item x="20"/>
        <item x="0"/>
        <item x="8"/>
        <item x="14"/>
        <item x="13"/>
        <item x="15"/>
        <item x="12"/>
        <item x="17"/>
        <item x="10"/>
        <item t="default"/>
      </items>
    </pivotField>
    <pivotField dataField="1" numFmtId="4" showAll="0">
      <items count="27">
        <item x="3"/>
        <item x="25"/>
        <item x="9"/>
        <item x="6"/>
        <item x="11"/>
        <item x="24"/>
        <item x="22"/>
        <item x="21"/>
        <item x="2"/>
        <item x="1"/>
        <item x="7"/>
        <item x="23"/>
        <item x="19"/>
        <item x="4"/>
        <item x="5"/>
        <item x="18"/>
        <item x="16"/>
        <item x="20"/>
        <item x="0"/>
        <item x="8"/>
        <item x="14"/>
        <item x="13"/>
        <item x="15"/>
        <item x="12"/>
        <item x="17"/>
        <item x="10"/>
        <item t="default"/>
      </items>
    </pivotField>
    <pivotField dataField="1" showAll="0">
      <items count="2">
        <item x="0"/>
        <item t="default"/>
      </items>
    </pivotField>
    <pivotField dataField="1" numFmtId="4" showAll="0"/>
    <pivotField numFmtId="4" showAll="0"/>
    <pivotField showAll="0" defaultSubtotal="0">
      <items count="14">
        <item h="1" x="0"/>
        <item h="1" x="1"/>
        <item h="1" x="2"/>
        <item h="1" x="3"/>
        <item h="1" x="4"/>
        <item h="1" x="5"/>
        <item h="1" x="6"/>
        <item x="7"/>
        <item h="1" x="8"/>
        <item h="1" x="9"/>
        <item h="1" x="10"/>
        <item h="1" x="11"/>
        <item h="1" x="12"/>
        <item h="1" x="13"/>
      </items>
    </pivotField>
    <pivotField showAll="0" defaultSubtotal="0"/>
    <pivotField showAll="0" defaultSubtotal="0">
      <items count="4">
        <item x="0"/>
        <item x="1"/>
        <item x="2"/>
        <item x="3"/>
      </items>
    </pivotField>
  </pivotFields>
  <rowFields count="1">
    <field x="4"/>
  </rowFields>
  <rowItems count="5">
    <i>
      <x/>
    </i>
    <i>
      <x v="2"/>
    </i>
    <i>
      <x v="3"/>
    </i>
    <i>
      <x v="4"/>
    </i>
    <i t="grand">
      <x/>
    </i>
  </rowItems>
  <colFields count="1">
    <field x="-2"/>
  </colFields>
  <colItems count="5">
    <i>
      <x/>
    </i>
    <i i="1">
      <x v="1"/>
    </i>
    <i i="2">
      <x v="2"/>
    </i>
    <i i="3">
      <x v="3"/>
    </i>
    <i i="4">
      <x v="4"/>
    </i>
  </colItems>
  <dataFields count="5">
    <dataField name="Count of CESS" fld="13" subtotal="count" baseField="0" baseItem="0"/>
    <dataField name="Sum of SGST" fld="12" baseField="0" baseItem="0"/>
    <dataField name="Sum of CGST" fld="11" baseField="0" baseItem="0"/>
    <dataField name="Sum of IGST" fld="10" baseField="0" baseItem="0"/>
    <dataField name="Sum of TOTAL" fld="14" baseField="0" baseItem="0"/>
  </dataFields>
  <chartFormats count="5">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3814DA-36D2-4D1F-8A90-D5E92E99A26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9">
    <pivotField showAll="0">
      <items count="3">
        <item x="0"/>
        <item h="1" x="1"/>
        <item t="default"/>
      </items>
    </pivotField>
    <pivotField showAll="0">
      <items count="3">
        <item h="1"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h="1" x="6"/>
        <item x="2"/>
        <item x="5"/>
        <item x="1"/>
        <item h="1" x="0"/>
        <item x="4"/>
        <item t="default"/>
      </items>
    </pivotField>
    <pivotField name="PT_Product"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items count="14">
        <item h="1" x="0"/>
        <item h="1" x="1"/>
        <item h="1" x="2"/>
        <item h="1" x="3"/>
        <item h="1" x="4"/>
        <item h="1" x="5"/>
        <item h="1" x="6"/>
        <item x="7"/>
        <item h="1" x="8"/>
        <item h="1" x="9"/>
        <item h="1" x="10"/>
        <item h="1" x="11"/>
        <item h="1" x="12"/>
        <item h="1" x="13"/>
      </items>
    </pivotField>
    <pivotField showAll="0" defaultSubtotal="0"/>
    <pivotField showAll="0" defaultSubtotal="0">
      <items count="4">
        <item x="0"/>
        <item x="1"/>
        <item x="2"/>
        <item x="3"/>
      </items>
    </pivotField>
  </pivotFields>
  <rowFields count="1">
    <field x="5"/>
  </rowFields>
  <rowItems count="3">
    <i>
      <x/>
    </i>
    <i>
      <x v="1"/>
    </i>
    <i t="grand">
      <x/>
    </i>
  </rowItems>
  <colItems count="1">
    <i/>
  </colItems>
  <dataFields count="1">
    <dataField name="Sum of TOTAL" fld="14"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5" count="1" selected="0">
            <x v="0"/>
          </reference>
        </references>
      </pivotArea>
    </chartFormat>
    <chartFormat chart="7"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0AF968-4EA4-4B5C-999A-B6A1AA97BF1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9">
    <pivotField showAll="0">
      <items count="3">
        <item x="0"/>
        <item h="1" x="1"/>
        <item t="default"/>
      </items>
    </pivotField>
    <pivotField name="Pt_State" axis="axisRow" showAll="0">
      <items count="3">
        <item h="1"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h="1" x="6"/>
        <item x="2"/>
        <item x="5"/>
        <item x="1"/>
        <item h="1"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items count="14">
        <item h="1" x="0"/>
        <item h="1" x="1"/>
        <item h="1" x="2"/>
        <item h="1" x="3"/>
        <item h="1" x="4"/>
        <item h="1" x="5"/>
        <item h="1" x="6"/>
        <item x="7"/>
        <item h="1" x="8"/>
        <item h="1" x="9"/>
        <item h="1" x="10"/>
        <item h="1" x="11"/>
        <item h="1" x="12"/>
        <item h="1" x="13"/>
      </items>
    </pivotField>
    <pivotField showAll="0" defaultSubtotal="0"/>
    <pivotField showAll="0" defaultSubtotal="0">
      <items count="4">
        <item x="0"/>
        <item x="1"/>
        <item x="2"/>
        <item x="3"/>
      </items>
    </pivotField>
  </pivotFields>
  <rowFields count="1">
    <field x="1"/>
  </rowFields>
  <rowItems count="2">
    <i>
      <x v="1"/>
    </i>
    <i t="grand">
      <x/>
    </i>
  </rowItems>
  <colItems count="1">
    <i/>
  </colItems>
  <dataFields count="1">
    <dataField name="Sum of TOTAL" fld="14" baseField="0" baseItem="0"/>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FB8210D7-4B66-43AB-8E78-84B8C5F83033}" sourceName="Firm Name ">
  <pivotTables>
    <pivotTable tabId="9" name="PivotTable2"/>
    <pivotTable tabId="8" name="PivotTable1"/>
    <pivotTable tabId="12" name="PivotTable5"/>
    <pivotTable tabId="13" name="PivotTable6"/>
    <pivotTable tabId="11" name="PivotTable4"/>
  </pivotTables>
  <data>
    <tabular pivotCacheId="35823659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6E853BB-0AF9-4DE6-9518-361CCB8DC3B4}" sourceName="State">
  <pivotTables>
    <pivotTable tabId="9" name="PivotTable2"/>
    <pivotTable tabId="8" name="PivotTable1"/>
    <pivotTable tabId="12" name="PivotTable5"/>
    <pivotTable tabId="13" name="PivotTable6"/>
    <pivotTable tabId="11" name="PivotTable4"/>
  </pivotTables>
  <data>
    <tabular pivotCacheId="358236598">
      <items count="2">
        <i x="0" s="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21D1D607-6FB0-4165-A4AC-EC5F8BB97772}" sourceName="Tax Rate">
  <pivotTables>
    <pivotTable tabId="9" name="PivotTable2"/>
    <pivotTable tabId="8" name="PivotTable1"/>
    <pivotTable tabId="12" name="PivotTable5"/>
    <pivotTable tabId="13" name="PivotTable6"/>
    <pivotTable tabId="11" name="PivotTable4"/>
  </pivotTables>
  <data>
    <tabular pivotCacheId="358236598">
      <items count="7">
        <i x="3" s="1"/>
        <i x="6"/>
        <i x="2" s="1"/>
        <i x="5" s="1"/>
        <i x="1" s="1"/>
        <i x="0"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FBC7179B-5E2E-4695-AEC1-7C67B06B63D7}" sourceName="Description of Goods">
  <pivotTables>
    <pivotTable tabId="9" name="PivotTable2"/>
    <pivotTable tabId="8" name="PivotTable1"/>
    <pivotTable tabId="12" name="PivotTable5"/>
    <pivotTable tabId="13" name="PivotTable6"/>
    <pivotTable tabId="11" name="PivotTable4"/>
  </pivotTables>
  <data>
    <tabular pivotCacheId="35823659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0FBDE22-0C0F-4F22-B7DA-3B51B88AE4C2}" sourceName="Months (Date)">
  <pivotTables>
    <pivotTable tabId="13" name="PivotTable6"/>
    <pivotTable tabId="8" name="PivotTable1"/>
    <pivotTable tabId="9" name="PivotTable2"/>
    <pivotTable tabId="12" name="PivotTable5"/>
    <pivotTable tabId="11" name="PivotTable4"/>
  </pivotTables>
  <data>
    <tabular pivotCacheId="358236598">
      <items count="14">
        <i x="5"/>
        <i x="6"/>
        <i x="7" s="1"/>
        <i x="1" nd="1"/>
        <i x="2" nd="1"/>
        <i x="3" nd="1"/>
        <i x="4" nd="1"/>
        <i x="8" nd="1"/>
        <i x="9" nd="1"/>
        <i x="10" nd="1"/>
        <i x="11"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rm Name " xr10:uid="{307E8993-D1F2-413C-BB5A-5B6453FDB005}" cache="Slicer_Firm_Name" caption="Firm Name " rowHeight="241300"/>
  <slicer name="State" xr10:uid="{D7B6A9B9-31A0-4664-9426-116EC0EBAE29}" cache="Slicer_State" caption="State" rowHeight="241300"/>
  <slicer name="Tax Rate" xr10:uid="{730AC0AE-151A-476E-A95E-C723A3EE6A51}" cache="Slicer_Tax_Rate" caption="GST Rate" startItem="1" rowHeight="241300"/>
  <slicer name="Description of Goods" xr10:uid="{0420C37D-C105-43A4-9D4F-4B646E720E45}" cache="Slicer_Description_of_Goods" caption="Products" rowHeight="241300"/>
  <slicer name="Months (Date)" xr10:uid="{61DC7C0C-1D78-499D-8017-CC823D51AC64}" cache="Slicer_Months__Date" caption="Month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33C42A-8F43-4941-A3A2-AE1544A486F9}" name="Sales_data" displayName="Sales_data" ref="A1:P37" totalsRowShown="0" headerRowDxfId="31" dataDxfId="30" tableBorderDxfId="29" dataCellStyle="40% - Accent6">
  <autoFilter ref="A1:P37" xr:uid="{E333C42A-8F43-4941-A3A2-AE1544A486F9}"/>
  <tableColumns count="16">
    <tableColumn id="1" xr3:uid="{BCDA0BDA-CA59-4CA2-8ADC-4269C32C0973}" name="Firm Name " dataDxfId="28" dataCellStyle="40% - Accent6"/>
    <tableColumn id="2" xr3:uid="{3FCC63DC-535B-479C-90FB-A60420D649F7}" name="State" dataDxfId="27" dataCellStyle="40% - Accent6"/>
    <tableColumn id="3" xr3:uid="{29CCD483-36D0-4EBE-A680-FA35F995BDC9}" name="Invoice No." dataDxfId="26" dataCellStyle="40% - Accent6"/>
    <tableColumn id="4" xr3:uid="{60F1B549-945F-4A2D-A25C-4CFC27FD049F}" name="Date" dataDxfId="25" dataCellStyle="40% - Accent6"/>
    <tableColumn id="5" xr3:uid="{133CEC45-D2B4-43FC-A787-7EA9AFD3FF53}" name="Tax Rate" dataDxfId="24" dataCellStyle="40% - Accent6"/>
    <tableColumn id="6" xr3:uid="{2AF76DB1-71C9-4D2D-88B8-56195E8D2B85}" name="Description of Goods" dataDxfId="23" dataCellStyle="40% - Accent6"/>
    <tableColumn id="7" xr3:uid="{B0DAE447-D9FB-4045-821A-46D278A45A85}" name="Qty" dataDxfId="22" dataCellStyle="40% - Accent6"/>
    <tableColumn id="8" xr3:uid="{3743C4B4-8B6E-4E84-8702-B0D8C91632F0}" name="Unit" dataDxfId="21" dataCellStyle="40% - Accent6"/>
    <tableColumn id="9" xr3:uid="{4E57D1E0-ED4C-4801-ABBC-C24C627F6976}" name="Rate" dataDxfId="20" dataCellStyle="40% - Accent6"/>
    <tableColumn id="10" xr3:uid="{158BFE0A-49A4-4FEB-A5F4-301F72A732A1}" name="Taxable Value" dataDxfId="19"/>
    <tableColumn id="11" xr3:uid="{BBD38ADB-2036-48EC-9636-53F96418FF8A}" name="IGST" dataDxfId="18" dataCellStyle="40% - Accent6"/>
    <tableColumn id="12" xr3:uid="{76BD01DC-4856-45FE-8BBF-DF9D875590CE}" name="CGST" dataDxfId="17" dataCellStyle="40% - Accent6"/>
    <tableColumn id="13" xr3:uid="{D06F4328-EED8-4B26-92FC-EEF7182A95E8}" name="SGST" dataDxfId="16" dataCellStyle="40% - Accent6"/>
    <tableColumn id="14" xr3:uid="{D932C22A-C801-4B55-AA14-E61ADB7F99BE}" name="CESS" dataDxfId="15" dataCellStyle="40% - Accent6"/>
    <tableColumn id="15" xr3:uid="{6E1C1995-1859-41EB-A364-D09C0F993101}" name="TOTAL" dataDxfId="14" dataCellStyle="40% - Accent6"/>
    <tableColumn id="16" xr3:uid="{1E4E1DF7-4CF0-4D3E-81EB-5F12DE6CDE3E}" name="INVOICE VALUE"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2" t="s">
        <v>16</v>
      </c>
      <c r="B4" s="3">
        <v>410376.47000000003</v>
      </c>
    </row>
    <row r="5" spans="1:2" x14ac:dyDescent="0.35">
      <c r="A5" s="2" t="s">
        <v>22</v>
      </c>
      <c r="B5" s="3">
        <v>459587.38999999996</v>
      </c>
    </row>
    <row r="6" spans="1:2" x14ac:dyDescent="0.35">
      <c r="A6" s="2" t="s">
        <v>25</v>
      </c>
      <c r="B6" s="3">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4" t="s">
        <v>27</v>
      </c>
      <c r="B4" s="3">
        <v>21004</v>
      </c>
    </row>
    <row r="5" spans="1:2" x14ac:dyDescent="0.35">
      <c r="A5" s="4" t="s">
        <v>28</v>
      </c>
      <c r="B5" s="3">
        <v>229752.43999999997</v>
      </c>
    </row>
    <row r="6" spans="1:2" x14ac:dyDescent="0.35">
      <c r="A6" s="4" t="s">
        <v>29</v>
      </c>
      <c r="B6" s="3">
        <v>389805.09</v>
      </c>
    </row>
    <row r="7" spans="1:2" x14ac:dyDescent="0.35">
      <c r="A7" s="4" t="s">
        <v>30</v>
      </c>
      <c r="B7" s="3">
        <v>229402.33</v>
      </c>
    </row>
    <row r="8" spans="1:2" x14ac:dyDescent="0.35">
      <c r="A8" s="4" t="s">
        <v>25</v>
      </c>
      <c r="B8" s="3">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4.5" x14ac:dyDescent="0.35"/>
  <cols>
    <col min="1" max="1" width="12.54296875" bestFit="1" customWidth="1"/>
    <col min="2" max="2" width="11.1796875" bestFit="1" customWidth="1"/>
    <col min="3" max="3" width="11.81640625" bestFit="1" customWidth="1"/>
    <col min="4" max="4" width="11.6328125" bestFit="1" customWidth="1"/>
    <col min="5" max="6" width="12.90625" bestFit="1" customWidth="1"/>
  </cols>
  <sheetData>
    <row r="3" spans="1:6" x14ac:dyDescent="0.35">
      <c r="A3" s="1" t="s">
        <v>24</v>
      </c>
      <c r="B3" t="s">
        <v>31</v>
      </c>
      <c r="C3" t="s">
        <v>32</v>
      </c>
      <c r="D3" t="s">
        <v>33</v>
      </c>
      <c r="E3" t="s">
        <v>34</v>
      </c>
      <c r="F3" t="s">
        <v>26</v>
      </c>
    </row>
    <row r="4" spans="1:6" x14ac:dyDescent="0.35">
      <c r="A4" s="5">
        <v>0</v>
      </c>
      <c r="B4" s="3">
        <v>0</v>
      </c>
      <c r="C4" s="3">
        <v>0</v>
      </c>
      <c r="D4" s="3">
        <v>0</v>
      </c>
      <c r="E4" s="3"/>
      <c r="F4" s="3">
        <v>84740</v>
      </c>
    </row>
    <row r="5" spans="1:6" x14ac:dyDescent="0.35">
      <c r="A5" s="5">
        <v>1E-3</v>
      </c>
      <c r="B5" s="3">
        <v>0</v>
      </c>
      <c r="C5" s="3">
        <v>46.83</v>
      </c>
      <c r="D5" s="3">
        <v>46.83</v>
      </c>
      <c r="E5" s="3"/>
      <c r="F5" s="3">
        <v>93753.659999999989</v>
      </c>
    </row>
    <row r="6" spans="1:6" x14ac:dyDescent="0.35">
      <c r="A6" s="5">
        <v>0.03</v>
      </c>
      <c r="B6" s="3">
        <v>1505.25</v>
      </c>
      <c r="C6" s="3">
        <v>1087.125</v>
      </c>
      <c r="D6" s="3">
        <v>1087.125</v>
      </c>
      <c r="E6" s="3"/>
      <c r="F6" s="3">
        <v>126329.5</v>
      </c>
    </row>
    <row r="7" spans="1:6" x14ac:dyDescent="0.35">
      <c r="A7" s="5">
        <v>0.05</v>
      </c>
      <c r="B7" s="3">
        <v>1393.75</v>
      </c>
      <c r="C7" s="3">
        <v>2871.125</v>
      </c>
      <c r="D7" s="3">
        <v>2871.125</v>
      </c>
      <c r="E7" s="3"/>
      <c r="F7" s="3">
        <v>149856</v>
      </c>
    </row>
    <row r="8" spans="1:6" x14ac:dyDescent="0.35">
      <c r="A8" s="5">
        <v>0.12</v>
      </c>
      <c r="B8" s="3">
        <v>0</v>
      </c>
      <c r="C8" s="3">
        <v>7559.4</v>
      </c>
      <c r="D8" s="3">
        <v>7559.4</v>
      </c>
      <c r="E8" s="3"/>
      <c r="F8" s="3">
        <v>141108.79999999999</v>
      </c>
    </row>
    <row r="9" spans="1:6" x14ac:dyDescent="0.35">
      <c r="A9" s="5">
        <v>0.18</v>
      </c>
      <c r="B9" s="3">
        <v>8429.4</v>
      </c>
      <c r="C9" s="3">
        <v>3307.95</v>
      </c>
      <c r="D9" s="3">
        <v>3307.95</v>
      </c>
      <c r="E9" s="3"/>
      <c r="F9" s="3">
        <v>98630.3</v>
      </c>
    </row>
    <row r="10" spans="1:6" x14ac:dyDescent="0.35">
      <c r="A10" s="5">
        <v>0.28000000000000003</v>
      </c>
      <c r="B10" s="3">
        <v>0</v>
      </c>
      <c r="C10" s="3">
        <v>19200.300000000003</v>
      </c>
      <c r="D10" s="3">
        <v>19200.300000000003</v>
      </c>
      <c r="E10" s="3"/>
      <c r="F10" s="3">
        <v>175545.59999999998</v>
      </c>
    </row>
    <row r="11" spans="1:6" x14ac:dyDescent="0.35">
      <c r="A11" s="5" t="s">
        <v>25</v>
      </c>
      <c r="B11" s="3">
        <v>11328.4</v>
      </c>
      <c r="C11" s="3">
        <v>34072.730000000003</v>
      </c>
      <c r="D11" s="3">
        <v>34072.730000000003</v>
      </c>
      <c r="E11" s="3"/>
      <c r="F11" s="3">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2" t="s">
        <v>20</v>
      </c>
      <c r="B4" s="3">
        <v>427057.24</v>
      </c>
    </row>
    <row r="5" spans="1:2" x14ac:dyDescent="0.35">
      <c r="A5" s="2" t="s">
        <v>18</v>
      </c>
      <c r="B5" s="3">
        <v>442906.61999999994</v>
      </c>
    </row>
    <row r="6" spans="1:2" x14ac:dyDescent="0.35">
      <c r="A6" s="2" t="s">
        <v>25</v>
      </c>
      <c r="B6" s="3">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66AFA-9A49-478D-BCEA-2F6A98D4AEE3}">
  <dimension ref="A3:B5"/>
  <sheetViews>
    <sheetView tabSelected="1" workbookViewId="0">
      <selection activeCell="J18" sqref="J18"/>
    </sheetView>
  </sheetViews>
  <sheetFormatPr defaultRowHeight="14.5" x14ac:dyDescent="0.35"/>
  <cols>
    <col min="1" max="1" width="12.36328125" bestFit="1" customWidth="1"/>
    <col min="2" max="2" width="12.453125" bestFit="1" customWidth="1"/>
  </cols>
  <sheetData>
    <row r="3" spans="1:2" x14ac:dyDescent="0.35">
      <c r="A3" s="1" t="s">
        <v>24</v>
      </c>
      <c r="B3" t="s">
        <v>26</v>
      </c>
    </row>
    <row r="4" spans="1:2" x14ac:dyDescent="0.35">
      <c r="A4" s="2" t="s">
        <v>16</v>
      </c>
      <c r="B4" s="3">
        <v>69743.25</v>
      </c>
    </row>
    <row r="5" spans="1:2" x14ac:dyDescent="0.35">
      <c r="A5" s="2" t="s">
        <v>25</v>
      </c>
      <c r="B5" s="3">
        <v>69743.25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2108B-0F23-4E52-9ECD-9E9871E22395}">
  <dimension ref="A3:B5"/>
  <sheetViews>
    <sheetView workbookViewId="0">
      <selection activeCell="K4" sqref="K4"/>
    </sheetView>
  </sheetViews>
  <sheetFormatPr defaultRowHeight="14.5" x14ac:dyDescent="0.35"/>
  <cols>
    <col min="1" max="1" width="12.36328125" bestFit="1" customWidth="1"/>
    <col min="2" max="2" width="12.453125" bestFit="1" customWidth="1"/>
  </cols>
  <sheetData>
    <row r="3" spans="1:2" x14ac:dyDescent="0.35">
      <c r="A3" s="1" t="s">
        <v>24</v>
      </c>
      <c r="B3" t="s">
        <v>26</v>
      </c>
    </row>
    <row r="4" spans="1:2" x14ac:dyDescent="0.35">
      <c r="A4" s="2" t="s">
        <v>30</v>
      </c>
      <c r="B4" s="3">
        <v>69743.25</v>
      </c>
    </row>
    <row r="5" spans="1:2" x14ac:dyDescent="0.35">
      <c r="A5" s="2" t="s">
        <v>25</v>
      </c>
      <c r="B5" s="3">
        <v>69743.25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BC722-E1AE-4561-876A-FB123F1BFA5C}">
  <dimension ref="A3:F8"/>
  <sheetViews>
    <sheetView workbookViewId="0">
      <selection activeCell="D5" sqref="D5"/>
    </sheetView>
  </sheetViews>
  <sheetFormatPr defaultRowHeight="14.5" x14ac:dyDescent="0.35"/>
  <cols>
    <col min="1" max="1" width="12.36328125" bestFit="1" customWidth="1"/>
    <col min="2" max="2" width="12.453125" bestFit="1" customWidth="1"/>
    <col min="3" max="3" width="11.1796875" bestFit="1" customWidth="1"/>
    <col min="4" max="4" width="11.36328125" bestFit="1" customWidth="1"/>
    <col min="5" max="5" width="10.81640625" bestFit="1" customWidth="1"/>
    <col min="6" max="6" width="12.453125" bestFit="1" customWidth="1"/>
  </cols>
  <sheetData>
    <row r="3" spans="1:6" x14ac:dyDescent="0.35">
      <c r="A3" s="1" t="s">
        <v>24</v>
      </c>
      <c r="B3" t="s">
        <v>34</v>
      </c>
      <c r="C3" t="s">
        <v>33</v>
      </c>
      <c r="D3" t="s">
        <v>32</v>
      </c>
      <c r="E3" t="s">
        <v>31</v>
      </c>
      <c r="F3" t="s">
        <v>26</v>
      </c>
    </row>
    <row r="4" spans="1:6" x14ac:dyDescent="0.35">
      <c r="A4" s="5">
        <v>0</v>
      </c>
      <c r="B4" s="3"/>
      <c r="C4" s="3">
        <v>0</v>
      </c>
      <c r="D4" s="3">
        <v>0</v>
      </c>
      <c r="E4" s="3">
        <v>0</v>
      </c>
      <c r="F4" s="3">
        <v>5575</v>
      </c>
    </row>
    <row r="5" spans="1:6" x14ac:dyDescent="0.35">
      <c r="A5" s="5">
        <v>0.03</v>
      </c>
      <c r="B5" s="3"/>
      <c r="C5" s="3">
        <v>167.25</v>
      </c>
      <c r="D5" s="3">
        <v>167.25</v>
      </c>
      <c r="E5" s="3">
        <v>0</v>
      </c>
      <c r="F5" s="3">
        <v>11484.5</v>
      </c>
    </row>
    <row r="6" spans="1:6" x14ac:dyDescent="0.35">
      <c r="A6" s="5">
        <v>0.05</v>
      </c>
      <c r="B6" s="3"/>
      <c r="C6" s="3">
        <v>808.375</v>
      </c>
      <c r="D6" s="3">
        <v>808.375</v>
      </c>
      <c r="E6" s="3">
        <v>0</v>
      </c>
      <c r="F6" s="3">
        <v>33951.75</v>
      </c>
    </row>
    <row r="7" spans="1:6" x14ac:dyDescent="0.35">
      <c r="A7" s="5">
        <v>0.12</v>
      </c>
      <c r="B7" s="3"/>
      <c r="C7" s="3">
        <v>1003.5</v>
      </c>
      <c r="D7" s="3">
        <v>1003.5</v>
      </c>
      <c r="E7" s="3">
        <v>0</v>
      </c>
      <c r="F7" s="3">
        <v>18732</v>
      </c>
    </row>
    <row r="8" spans="1:6" x14ac:dyDescent="0.35">
      <c r="A8" s="5" t="s">
        <v>25</v>
      </c>
      <c r="B8" s="3"/>
      <c r="C8" s="3">
        <v>1979.125</v>
      </c>
      <c r="D8" s="3">
        <v>1979.125</v>
      </c>
      <c r="E8" s="3">
        <v>0</v>
      </c>
      <c r="F8" s="3">
        <v>69743.25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51020-0606-462F-848D-B06B036E789D}">
  <dimension ref="A3:B6"/>
  <sheetViews>
    <sheetView workbookViewId="0">
      <selection activeCell="F17" sqref="F17"/>
    </sheetView>
  </sheetViews>
  <sheetFormatPr defaultRowHeight="14.5" x14ac:dyDescent="0.35"/>
  <cols>
    <col min="1" max="1" width="12.6328125" bestFit="1" customWidth="1"/>
    <col min="2" max="2" width="12.453125" bestFit="1" customWidth="1"/>
  </cols>
  <sheetData>
    <row r="3" spans="1:2" x14ac:dyDescent="0.35">
      <c r="A3" s="1" t="s">
        <v>24</v>
      </c>
      <c r="B3" t="s">
        <v>26</v>
      </c>
    </row>
    <row r="4" spans="1:2" x14ac:dyDescent="0.35">
      <c r="A4" s="2" t="s">
        <v>20</v>
      </c>
      <c r="B4" s="3">
        <v>39526.75</v>
      </c>
    </row>
    <row r="5" spans="1:2" x14ac:dyDescent="0.35">
      <c r="A5" s="2" t="s">
        <v>18</v>
      </c>
      <c r="B5" s="3">
        <v>30216.5</v>
      </c>
    </row>
    <row r="6" spans="1:2" x14ac:dyDescent="0.35">
      <c r="A6" s="2" t="s">
        <v>25</v>
      </c>
      <c r="B6" s="3">
        <v>69743.25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2B374-8946-4C40-A5F4-DE2A4F4AEA73}">
  <dimension ref="A3:B5"/>
  <sheetViews>
    <sheetView workbookViewId="0">
      <selection activeCell="M11" sqref="M11"/>
    </sheetView>
  </sheetViews>
  <sheetFormatPr defaultRowHeight="14.5" x14ac:dyDescent="0.35"/>
  <cols>
    <col min="1" max="1" width="12.36328125" bestFit="1" customWidth="1"/>
    <col min="2" max="2" width="12.453125" bestFit="1" customWidth="1"/>
  </cols>
  <sheetData>
    <row r="3" spans="1:2" x14ac:dyDescent="0.35">
      <c r="A3" s="1" t="s">
        <v>24</v>
      </c>
      <c r="B3" t="s">
        <v>26</v>
      </c>
    </row>
    <row r="4" spans="1:2" x14ac:dyDescent="0.35">
      <c r="A4" s="2" t="s">
        <v>17</v>
      </c>
      <c r="B4" s="3">
        <v>69743.25</v>
      </c>
    </row>
    <row r="5" spans="1:2" x14ac:dyDescent="0.35">
      <c r="A5" s="2" t="s">
        <v>25</v>
      </c>
      <c r="B5" s="3">
        <v>69743.25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69EC7-1B50-4836-A1FE-DE160BEAD799}">
  <dimension ref="A1:T26"/>
  <sheetViews>
    <sheetView showGridLines="0" showRowColHeaders="0" zoomScale="64" workbookViewId="0">
      <selection activeCell="K32" sqref="K32"/>
    </sheetView>
  </sheetViews>
  <sheetFormatPr defaultRowHeight="14.5" x14ac:dyDescent="0.35"/>
  <cols>
    <col min="2" max="2" width="8.7265625" customWidth="1"/>
  </cols>
  <sheetData>
    <row r="1" spans="1:20" x14ac:dyDescent="0.35">
      <c r="A1" s="28"/>
      <c r="B1" s="28"/>
      <c r="C1" s="28"/>
      <c r="D1" s="28"/>
      <c r="E1" s="28"/>
      <c r="F1" s="28"/>
      <c r="G1" s="28"/>
      <c r="H1" s="28"/>
      <c r="I1" s="28"/>
      <c r="J1" s="28"/>
      <c r="K1" s="28"/>
      <c r="L1" s="28"/>
      <c r="M1" s="28"/>
      <c r="N1" s="28"/>
      <c r="O1" s="28"/>
      <c r="P1" s="28"/>
      <c r="Q1" s="28"/>
      <c r="R1" s="28"/>
      <c r="S1" s="28"/>
      <c r="T1" s="28"/>
    </row>
    <row r="2" spans="1:20" x14ac:dyDescent="0.35">
      <c r="A2" s="28"/>
      <c r="B2" s="28"/>
      <c r="C2" s="28"/>
      <c r="D2" s="28"/>
      <c r="E2" s="28"/>
      <c r="F2" s="28"/>
      <c r="G2" s="28"/>
      <c r="H2" s="28"/>
      <c r="I2" s="28"/>
      <c r="J2" s="28"/>
      <c r="K2" s="28"/>
      <c r="L2" s="28"/>
      <c r="M2" s="28"/>
      <c r="N2" s="28"/>
      <c r="O2" s="28"/>
      <c r="P2" s="28"/>
      <c r="Q2" s="28"/>
      <c r="R2" s="28"/>
      <c r="S2" s="28"/>
      <c r="T2" s="28"/>
    </row>
    <row r="3" spans="1:20" x14ac:dyDescent="0.35">
      <c r="A3" s="28"/>
      <c r="B3" s="28"/>
      <c r="C3" s="28"/>
      <c r="D3" s="28"/>
      <c r="E3" s="28"/>
      <c r="F3" s="28"/>
      <c r="G3" s="28"/>
      <c r="H3" s="28"/>
      <c r="I3" s="28"/>
      <c r="J3" s="28"/>
      <c r="K3" s="28"/>
      <c r="L3" s="28"/>
      <c r="M3" s="28"/>
      <c r="N3" s="28"/>
      <c r="O3" s="28"/>
      <c r="P3" s="28"/>
      <c r="Q3" s="28"/>
      <c r="R3" s="28"/>
      <c r="S3" s="28"/>
      <c r="T3" s="28"/>
    </row>
    <row r="4" spans="1:20" x14ac:dyDescent="0.35">
      <c r="A4" s="29"/>
      <c r="B4" s="29"/>
      <c r="C4" s="29"/>
      <c r="D4" s="29"/>
      <c r="E4" s="29"/>
      <c r="F4" s="29"/>
      <c r="G4" s="29"/>
      <c r="H4" s="29"/>
      <c r="I4" s="29"/>
      <c r="J4" s="29"/>
      <c r="K4" s="29"/>
      <c r="L4" s="29"/>
      <c r="M4" s="29"/>
      <c r="N4" s="29"/>
      <c r="O4" s="29"/>
      <c r="P4" s="29"/>
      <c r="Q4" s="29"/>
      <c r="R4" s="29"/>
      <c r="S4" s="29"/>
      <c r="T4" s="29"/>
    </row>
    <row r="5" spans="1:20" x14ac:dyDescent="0.35">
      <c r="A5" s="29"/>
      <c r="B5" s="29"/>
      <c r="C5" s="29"/>
      <c r="D5" s="29"/>
      <c r="E5" s="29"/>
      <c r="F5" s="29"/>
      <c r="G5" s="29"/>
      <c r="H5" s="29"/>
      <c r="I5" s="29"/>
      <c r="J5" s="29"/>
      <c r="K5" s="29"/>
      <c r="L5" s="29"/>
      <c r="M5" s="29"/>
      <c r="N5" s="29"/>
      <c r="O5" s="29"/>
      <c r="P5" s="29"/>
      <c r="Q5" s="29"/>
      <c r="R5" s="29"/>
      <c r="S5" s="29"/>
      <c r="T5" s="29"/>
    </row>
    <row r="6" spans="1:20" x14ac:dyDescent="0.35">
      <c r="A6" s="29"/>
      <c r="B6" s="29"/>
      <c r="C6" s="29"/>
      <c r="D6" s="29"/>
      <c r="E6" s="29"/>
      <c r="F6" s="29"/>
      <c r="G6" s="29"/>
      <c r="H6" s="29"/>
      <c r="I6" s="29"/>
      <c r="J6" s="29"/>
      <c r="K6" s="29"/>
      <c r="L6" s="29"/>
      <c r="M6" s="29"/>
      <c r="N6" s="29"/>
      <c r="O6" s="29"/>
      <c r="P6" s="29"/>
      <c r="Q6" s="29"/>
      <c r="R6" s="29"/>
      <c r="S6" s="29"/>
      <c r="T6" s="29"/>
    </row>
    <row r="7" spans="1:20" x14ac:dyDescent="0.35">
      <c r="A7" s="29"/>
      <c r="B7" s="29"/>
      <c r="C7" s="29"/>
      <c r="D7" s="29"/>
      <c r="E7" s="29"/>
      <c r="F7" s="29"/>
      <c r="G7" s="29"/>
      <c r="H7" s="29"/>
      <c r="I7" s="29"/>
      <c r="J7" s="29"/>
      <c r="K7" s="29"/>
      <c r="L7" s="29"/>
      <c r="M7" s="29"/>
      <c r="N7" s="29"/>
      <c r="O7" s="29"/>
      <c r="P7" s="29"/>
      <c r="Q7" s="29"/>
      <c r="R7" s="29"/>
      <c r="S7" s="29"/>
      <c r="T7" s="29"/>
    </row>
    <row r="8" spans="1:20" x14ac:dyDescent="0.35">
      <c r="A8" s="29"/>
      <c r="B8" s="29"/>
      <c r="C8" s="29"/>
      <c r="D8" s="29"/>
      <c r="E8" s="29"/>
      <c r="F8" s="29"/>
      <c r="G8" s="29"/>
      <c r="H8" s="29"/>
      <c r="I8" s="29"/>
      <c r="J8" s="29"/>
      <c r="K8" s="29"/>
      <c r="L8" s="29"/>
      <c r="M8" s="29"/>
      <c r="N8" s="29"/>
      <c r="O8" s="29"/>
      <c r="P8" s="29"/>
      <c r="Q8" s="29"/>
      <c r="R8" s="29"/>
      <c r="S8" s="29"/>
      <c r="T8" s="29"/>
    </row>
    <row r="9" spans="1:20" x14ac:dyDescent="0.35">
      <c r="A9" s="29"/>
      <c r="B9" s="29"/>
      <c r="C9" s="29"/>
      <c r="D9" s="29"/>
      <c r="E9" s="29"/>
      <c r="F9" s="29"/>
      <c r="G9" s="29"/>
      <c r="H9" s="29"/>
      <c r="I9" s="29"/>
      <c r="J9" s="29"/>
      <c r="K9" s="29"/>
      <c r="L9" s="29"/>
      <c r="M9" s="29"/>
      <c r="N9" s="29"/>
      <c r="O9" s="29"/>
      <c r="P9" s="29"/>
      <c r="Q9" s="29"/>
      <c r="R9" s="29"/>
      <c r="S9" s="29"/>
      <c r="T9" s="29"/>
    </row>
    <row r="10" spans="1:20" x14ac:dyDescent="0.35">
      <c r="A10" s="29"/>
      <c r="B10" s="29"/>
      <c r="C10" s="29"/>
      <c r="D10" s="29"/>
      <c r="E10" s="29"/>
      <c r="F10" s="29"/>
      <c r="G10" s="29"/>
      <c r="H10" s="29"/>
      <c r="I10" s="29"/>
      <c r="J10" s="29"/>
      <c r="K10" s="29"/>
      <c r="L10" s="29"/>
      <c r="M10" s="29"/>
      <c r="N10" s="29"/>
      <c r="O10" s="29"/>
      <c r="P10" s="29"/>
      <c r="Q10" s="29"/>
      <c r="R10" s="29"/>
      <c r="S10" s="29"/>
      <c r="T10" s="29"/>
    </row>
    <row r="11" spans="1:20" x14ac:dyDescent="0.35">
      <c r="A11" s="29"/>
      <c r="B11" s="29"/>
      <c r="C11" s="29"/>
      <c r="D11" s="29"/>
      <c r="E11" s="29"/>
      <c r="F11" s="29"/>
      <c r="G11" s="29"/>
      <c r="H11" s="29"/>
      <c r="I11" s="29"/>
      <c r="J11" s="29"/>
      <c r="K11" s="29"/>
      <c r="L11" s="29"/>
      <c r="M11" s="29"/>
      <c r="N11" s="29"/>
      <c r="O11" s="29"/>
      <c r="P11" s="29"/>
      <c r="Q11" s="29"/>
      <c r="R11" s="29"/>
      <c r="S11" s="29"/>
      <c r="T11" s="29"/>
    </row>
    <row r="12" spans="1:20" x14ac:dyDescent="0.35">
      <c r="A12" s="29"/>
      <c r="B12" s="29"/>
      <c r="C12" s="29"/>
      <c r="D12" s="29"/>
      <c r="E12" s="29"/>
      <c r="F12" s="29"/>
      <c r="G12" s="29"/>
      <c r="H12" s="29"/>
      <c r="I12" s="29"/>
      <c r="J12" s="29"/>
      <c r="K12" s="29"/>
      <c r="L12" s="29"/>
      <c r="M12" s="29"/>
      <c r="N12" s="29"/>
      <c r="O12" s="29"/>
      <c r="P12" s="29"/>
      <c r="Q12" s="29"/>
      <c r="R12" s="29"/>
      <c r="S12" s="29"/>
      <c r="T12" s="29"/>
    </row>
    <row r="13" spans="1:20" x14ac:dyDescent="0.35">
      <c r="A13" s="29"/>
      <c r="B13" s="29"/>
      <c r="C13" s="29"/>
      <c r="D13" s="29"/>
      <c r="E13" s="29"/>
      <c r="F13" s="29"/>
      <c r="G13" s="29"/>
      <c r="H13" s="29"/>
      <c r="I13" s="29"/>
      <c r="J13" s="29"/>
      <c r="K13" s="29"/>
      <c r="L13" s="29"/>
      <c r="M13" s="29"/>
      <c r="N13" s="29"/>
      <c r="O13" s="29"/>
      <c r="P13" s="29"/>
      <c r="Q13" s="29"/>
      <c r="R13" s="29"/>
      <c r="S13" s="29"/>
      <c r="T13" s="29"/>
    </row>
    <row r="14" spans="1:20" x14ac:dyDescent="0.35">
      <c r="A14" s="29"/>
      <c r="B14" s="29"/>
      <c r="C14" s="29"/>
      <c r="D14" s="29"/>
      <c r="E14" s="29"/>
      <c r="F14" s="29"/>
      <c r="G14" s="29"/>
      <c r="H14" s="29"/>
      <c r="I14" s="29"/>
      <c r="J14" s="29"/>
      <c r="K14" s="29"/>
      <c r="L14" s="29"/>
      <c r="M14" s="29"/>
      <c r="N14" s="29"/>
      <c r="O14" s="29"/>
      <c r="P14" s="29"/>
      <c r="Q14" s="29"/>
      <c r="R14" s="29"/>
      <c r="S14" s="29"/>
      <c r="T14" s="29"/>
    </row>
    <row r="15" spans="1:20" x14ac:dyDescent="0.35">
      <c r="A15" s="29"/>
      <c r="B15" s="29"/>
      <c r="C15" s="29"/>
      <c r="D15" s="29"/>
      <c r="E15" s="29"/>
      <c r="F15" s="29"/>
      <c r="G15" s="29"/>
      <c r="H15" s="29"/>
      <c r="I15" s="29"/>
      <c r="J15" s="29"/>
      <c r="K15" s="29"/>
      <c r="L15" s="29"/>
      <c r="M15" s="29"/>
      <c r="N15" s="29"/>
      <c r="O15" s="29"/>
      <c r="P15" s="29"/>
      <c r="Q15" s="29"/>
      <c r="R15" s="29"/>
      <c r="S15" s="29"/>
      <c r="T15" s="29"/>
    </row>
    <row r="16" spans="1:20" x14ac:dyDescent="0.35">
      <c r="A16" s="29"/>
      <c r="B16" s="29"/>
      <c r="C16" s="29"/>
      <c r="D16" s="29"/>
      <c r="E16" s="29"/>
      <c r="F16" s="29"/>
      <c r="G16" s="29"/>
      <c r="H16" s="29"/>
      <c r="I16" s="29"/>
      <c r="J16" s="29"/>
      <c r="K16" s="29"/>
      <c r="L16" s="29"/>
      <c r="M16" s="29"/>
      <c r="N16" s="29"/>
      <c r="O16" s="29"/>
      <c r="P16" s="29"/>
      <c r="Q16" s="29"/>
      <c r="R16" s="29"/>
      <c r="S16" s="29"/>
      <c r="T16" s="29"/>
    </row>
    <row r="17" spans="1:20" x14ac:dyDescent="0.35">
      <c r="A17" s="29"/>
      <c r="B17" s="29"/>
      <c r="C17" s="29"/>
      <c r="D17" s="29"/>
      <c r="E17" s="29"/>
      <c r="F17" s="29"/>
      <c r="G17" s="29"/>
      <c r="H17" s="29"/>
      <c r="I17" s="29"/>
      <c r="J17" s="29"/>
      <c r="K17" s="29"/>
      <c r="L17" s="29"/>
      <c r="M17" s="29"/>
      <c r="N17" s="29"/>
      <c r="O17" s="29"/>
      <c r="P17" s="29"/>
      <c r="Q17" s="29"/>
      <c r="R17" s="29"/>
      <c r="S17" s="29"/>
      <c r="T17" s="29"/>
    </row>
    <row r="18" spans="1:20" x14ac:dyDescent="0.35">
      <c r="A18" s="29"/>
      <c r="B18" s="29"/>
      <c r="C18" s="29"/>
      <c r="D18" s="29"/>
      <c r="E18" s="29"/>
      <c r="F18" s="29"/>
      <c r="G18" s="29"/>
      <c r="H18" s="29"/>
      <c r="I18" s="29"/>
      <c r="J18" s="29"/>
      <c r="K18" s="29"/>
      <c r="L18" s="29"/>
      <c r="M18" s="29"/>
      <c r="N18" s="29"/>
      <c r="O18" s="29"/>
      <c r="P18" s="29"/>
      <c r="Q18" s="29"/>
      <c r="R18" s="29"/>
      <c r="S18" s="29"/>
      <c r="T18" s="29"/>
    </row>
    <row r="19" spans="1:20" x14ac:dyDescent="0.35">
      <c r="A19" s="29"/>
      <c r="B19" s="29"/>
      <c r="C19" s="29"/>
      <c r="D19" s="29"/>
      <c r="E19" s="29"/>
      <c r="F19" s="29"/>
      <c r="G19" s="29"/>
      <c r="H19" s="29"/>
      <c r="I19" s="29"/>
      <c r="J19" s="29"/>
      <c r="K19" s="29"/>
      <c r="L19" s="29"/>
      <c r="M19" s="29"/>
      <c r="N19" s="29"/>
      <c r="O19" s="29"/>
      <c r="P19" s="29"/>
      <c r="Q19" s="29"/>
      <c r="R19" s="29"/>
      <c r="S19" s="29"/>
      <c r="T19" s="29"/>
    </row>
    <row r="20" spans="1:20" x14ac:dyDescent="0.35">
      <c r="A20" s="29"/>
      <c r="B20" s="29"/>
      <c r="C20" s="29"/>
      <c r="D20" s="29"/>
      <c r="E20" s="29"/>
      <c r="F20" s="29"/>
      <c r="G20" s="29"/>
      <c r="H20" s="29"/>
      <c r="I20" s="29"/>
      <c r="J20" s="29"/>
      <c r="K20" s="29"/>
      <c r="L20" s="29"/>
      <c r="M20" s="29"/>
      <c r="N20" s="29"/>
      <c r="O20" s="29"/>
      <c r="P20" s="29"/>
      <c r="Q20" s="29"/>
      <c r="R20" s="29"/>
      <c r="S20" s="29"/>
      <c r="T20" s="29"/>
    </row>
    <row r="21" spans="1:20" x14ac:dyDescent="0.35">
      <c r="A21" s="29"/>
      <c r="B21" s="29"/>
      <c r="C21" s="29"/>
      <c r="D21" s="29"/>
      <c r="E21" s="29"/>
      <c r="F21" s="29"/>
      <c r="G21" s="29"/>
      <c r="H21" s="29"/>
      <c r="I21" s="29"/>
      <c r="J21" s="29"/>
      <c r="K21" s="29"/>
      <c r="L21" s="29"/>
      <c r="M21" s="29"/>
      <c r="N21" s="29"/>
      <c r="O21" s="29"/>
      <c r="P21" s="29"/>
      <c r="Q21" s="29"/>
      <c r="R21" s="29"/>
      <c r="S21" s="29"/>
      <c r="T21" s="29"/>
    </row>
    <row r="22" spans="1:20" x14ac:dyDescent="0.35">
      <c r="A22" s="29"/>
      <c r="B22" s="29"/>
      <c r="C22" s="29"/>
      <c r="D22" s="29"/>
      <c r="E22" s="29"/>
      <c r="F22" s="29"/>
      <c r="G22" s="29"/>
      <c r="H22" s="29"/>
      <c r="I22" s="29"/>
      <c r="J22" s="29"/>
      <c r="K22" s="29"/>
      <c r="L22" s="29"/>
      <c r="M22" s="29"/>
      <c r="N22" s="29"/>
      <c r="O22" s="29"/>
      <c r="P22" s="29"/>
      <c r="Q22" s="29"/>
      <c r="R22" s="29"/>
      <c r="S22" s="29"/>
      <c r="T22" s="29"/>
    </row>
    <row r="23" spans="1:20" x14ac:dyDescent="0.35">
      <c r="A23" s="29"/>
      <c r="B23" s="29"/>
      <c r="C23" s="29"/>
      <c r="D23" s="29"/>
      <c r="E23" s="29"/>
      <c r="F23" s="29"/>
      <c r="G23" s="29"/>
      <c r="H23" s="29"/>
      <c r="I23" s="29"/>
      <c r="J23" s="29"/>
      <c r="K23" s="29"/>
      <c r="L23" s="29"/>
      <c r="M23" s="29"/>
      <c r="N23" s="29"/>
      <c r="O23" s="29"/>
      <c r="P23" s="29"/>
      <c r="Q23" s="29"/>
      <c r="R23" s="29"/>
      <c r="S23" s="29"/>
      <c r="T23" s="29"/>
    </row>
    <row r="24" spans="1:20" x14ac:dyDescent="0.35">
      <c r="A24" s="29"/>
      <c r="B24" s="29"/>
      <c r="C24" s="29"/>
      <c r="D24" s="29"/>
      <c r="E24" s="29"/>
      <c r="F24" s="29"/>
      <c r="G24" s="29"/>
      <c r="H24" s="29"/>
      <c r="I24" s="29"/>
      <c r="J24" s="29"/>
      <c r="K24" s="29"/>
      <c r="L24" s="29"/>
      <c r="M24" s="29"/>
      <c r="N24" s="29"/>
      <c r="O24" s="29"/>
      <c r="P24" s="29"/>
      <c r="Q24" s="29"/>
      <c r="R24" s="29"/>
      <c r="S24" s="29"/>
      <c r="T24" s="29"/>
    </row>
    <row r="25" spans="1:20" x14ac:dyDescent="0.35">
      <c r="A25" s="29"/>
      <c r="B25" s="29"/>
      <c r="C25" s="29"/>
      <c r="D25" s="29"/>
      <c r="E25" s="29"/>
      <c r="F25" s="29"/>
      <c r="G25" s="29"/>
      <c r="H25" s="29"/>
      <c r="I25" s="29"/>
      <c r="J25" s="29"/>
      <c r="K25" s="29"/>
      <c r="L25" s="29"/>
      <c r="M25" s="29"/>
      <c r="N25" s="29"/>
      <c r="O25" s="29"/>
      <c r="P25" s="29"/>
      <c r="Q25" s="29"/>
      <c r="R25" s="29"/>
      <c r="S25" s="29"/>
      <c r="T25" s="29"/>
    </row>
    <row r="26" spans="1:20" x14ac:dyDescent="0.35">
      <c r="A26" s="29"/>
      <c r="B26" s="29"/>
      <c r="C26" s="29"/>
      <c r="D26" s="29"/>
      <c r="E26" s="29"/>
      <c r="F26" s="29"/>
      <c r="G26" s="29"/>
      <c r="H26" s="29"/>
      <c r="I26" s="29"/>
      <c r="J26" s="29"/>
      <c r="K26" s="29"/>
      <c r="L26" s="29"/>
      <c r="M26" s="29"/>
      <c r="N26" s="29"/>
      <c r="O26" s="29"/>
      <c r="P26" s="29"/>
      <c r="Q26" s="29"/>
      <c r="R26" s="29"/>
      <c r="S26" s="29"/>
      <c r="T26" s="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zoomScale="52" zoomScaleNormal="85" workbookViewId="0">
      <selection activeCell="F22" sqref="F22"/>
    </sheetView>
  </sheetViews>
  <sheetFormatPr defaultRowHeight="14.5" x14ac:dyDescent="0.35"/>
  <cols>
    <col min="1" max="1" width="16.36328125" customWidth="1"/>
    <col min="2" max="2" width="12.90625" bestFit="1" customWidth="1"/>
    <col min="3" max="3" width="16.08984375" customWidth="1"/>
    <col min="4" max="4" width="13.90625" customWidth="1"/>
    <col min="5" max="5" width="13" customWidth="1"/>
    <col min="6" max="6" width="27.36328125" customWidth="1"/>
    <col min="7" max="7" width="8.453125" customWidth="1"/>
    <col min="8" max="8" width="8.54296875" customWidth="1"/>
    <col min="9" max="9" width="10.90625" customWidth="1"/>
    <col min="10" max="10" width="19" customWidth="1"/>
    <col min="11" max="11" width="9.54296875" bestFit="1" customWidth="1"/>
    <col min="12" max="12" width="10.453125" customWidth="1"/>
    <col min="13" max="13" width="10.54296875" customWidth="1"/>
    <col min="14" max="14" width="8.54296875" customWidth="1"/>
    <col min="15" max="15" width="12.54296875" customWidth="1"/>
    <col min="16" max="16" width="20.54296875" customWidth="1"/>
  </cols>
  <sheetData>
    <row r="1" spans="1:16" ht="18.5" x14ac:dyDescent="0.35">
      <c r="A1" s="24" t="s">
        <v>0</v>
      </c>
      <c r="B1" s="25" t="s">
        <v>1</v>
      </c>
      <c r="C1" s="25" t="s">
        <v>2</v>
      </c>
      <c r="D1" s="25" t="s">
        <v>3</v>
      </c>
      <c r="E1" s="26" t="s">
        <v>4</v>
      </c>
      <c r="F1" s="26" t="s">
        <v>5</v>
      </c>
      <c r="G1" s="26" t="s">
        <v>6</v>
      </c>
      <c r="H1" s="26" t="s">
        <v>7</v>
      </c>
      <c r="I1" s="26" t="s">
        <v>8</v>
      </c>
      <c r="J1" s="27" t="s">
        <v>9</v>
      </c>
      <c r="K1" s="27" t="s">
        <v>10</v>
      </c>
      <c r="L1" s="27" t="s">
        <v>11</v>
      </c>
      <c r="M1" s="27" t="s">
        <v>12</v>
      </c>
      <c r="N1" s="27" t="s">
        <v>13</v>
      </c>
      <c r="O1" s="27" t="s">
        <v>14</v>
      </c>
      <c r="P1" s="25" t="s">
        <v>15</v>
      </c>
    </row>
    <row r="2" spans="1:16" ht="15.5" x14ac:dyDescent="0.35">
      <c r="A2" s="22" t="s">
        <v>16</v>
      </c>
      <c r="B2" s="6" t="s">
        <v>17</v>
      </c>
      <c r="C2" s="6">
        <v>23</v>
      </c>
      <c r="D2" s="7">
        <v>43922</v>
      </c>
      <c r="E2" s="8">
        <v>0.18</v>
      </c>
      <c r="F2" s="6" t="s">
        <v>18</v>
      </c>
      <c r="G2" s="6">
        <v>8</v>
      </c>
      <c r="H2" s="8" t="s">
        <v>19</v>
      </c>
      <c r="I2" s="9">
        <v>2225</v>
      </c>
      <c r="J2" s="10">
        <v>17800</v>
      </c>
      <c r="K2" s="11">
        <v>0</v>
      </c>
      <c r="L2" s="11">
        <v>1602</v>
      </c>
      <c r="M2" s="11">
        <v>1602</v>
      </c>
      <c r="N2" s="11"/>
      <c r="O2" s="11">
        <v>21004</v>
      </c>
      <c r="P2" s="10">
        <v>21004</v>
      </c>
    </row>
    <row r="3" spans="1:16" ht="15.5" x14ac:dyDescent="0.35">
      <c r="A3" s="23" t="s">
        <v>16</v>
      </c>
      <c r="B3" s="12" t="s">
        <v>17</v>
      </c>
      <c r="C3" s="12">
        <v>24</v>
      </c>
      <c r="D3" s="13">
        <v>43986</v>
      </c>
      <c r="E3" s="14">
        <v>0.12</v>
      </c>
      <c r="F3" s="12" t="s">
        <v>20</v>
      </c>
      <c r="G3" s="12">
        <v>2</v>
      </c>
      <c r="H3" s="14" t="s">
        <v>19</v>
      </c>
      <c r="I3" s="15">
        <v>1670</v>
      </c>
      <c r="J3" s="16">
        <v>3340</v>
      </c>
      <c r="K3" s="17">
        <v>0</v>
      </c>
      <c r="L3" s="17">
        <v>200.4</v>
      </c>
      <c r="M3" s="17">
        <v>200.4</v>
      </c>
      <c r="N3" s="17"/>
      <c r="O3" s="17">
        <v>3740.8</v>
      </c>
      <c r="P3" s="16">
        <v>3740.8</v>
      </c>
    </row>
    <row r="4" spans="1:16" ht="15.5" x14ac:dyDescent="0.35">
      <c r="A4" s="22" t="s">
        <v>16</v>
      </c>
      <c r="B4" s="6" t="s">
        <v>17</v>
      </c>
      <c r="C4" s="6">
        <v>25</v>
      </c>
      <c r="D4" s="7">
        <v>44016</v>
      </c>
      <c r="E4" s="8">
        <v>0.03</v>
      </c>
      <c r="F4" s="6" t="s">
        <v>18</v>
      </c>
      <c r="G4" s="6">
        <v>10</v>
      </c>
      <c r="H4" s="8" t="s">
        <v>19</v>
      </c>
      <c r="I4" s="9">
        <v>1115</v>
      </c>
      <c r="J4" s="10">
        <v>11150</v>
      </c>
      <c r="K4" s="11">
        <v>0</v>
      </c>
      <c r="L4" s="11">
        <v>167.25</v>
      </c>
      <c r="M4" s="11">
        <v>167.25</v>
      </c>
      <c r="N4" s="11"/>
      <c r="O4" s="11">
        <v>11484.5</v>
      </c>
      <c r="P4" s="10">
        <v>11484.5</v>
      </c>
    </row>
    <row r="5" spans="1:16" ht="15.5" x14ac:dyDescent="0.35">
      <c r="A5" s="23" t="s">
        <v>16</v>
      </c>
      <c r="B5" s="12" t="s">
        <v>21</v>
      </c>
      <c r="C5" s="12">
        <v>26</v>
      </c>
      <c r="D5" s="13">
        <v>43956</v>
      </c>
      <c r="E5" s="14">
        <v>0</v>
      </c>
      <c r="F5" s="12" t="s">
        <v>20</v>
      </c>
      <c r="G5" s="12">
        <v>3</v>
      </c>
      <c r="H5" s="14" t="s">
        <v>19</v>
      </c>
      <c r="I5" s="15">
        <v>1115</v>
      </c>
      <c r="J5" s="16">
        <v>3345</v>
      </c>
      <c r="K5" s="17">
        <v>0</v>
      </c>
      <c r="L5" s="17">
        <v>0</v>
      </c>
      <c r="M5" s="17">
        <v>0</v>
      </c>
      <c r="N5" s="17"/>
      <c r="O5" s="17">
        <v>3345</v>
      </c>
      <c r="P5" s="16">
        <v>3345</v>
      </c>
    </row>
    <row r="6" spans="1:16" ht="15.5" x14ac:dyDescent="0.35">
      <c r="A6" s="22" t="s">
        <v>16</v>
      </c>
      <c r="B6" s="6" t="s">
        <v>17</v>
      </c>
      <c r="C6" s="6">
        <v>27</v>
      </c>
      <c r="D6" s="7">
        <v>43987</v>
      </c>
      <c r="E6" s="8">
        <v>0.28000000000000003</v>
      </c>
      <c r="F6" s="6" t="s">
        <v>18</v>
      </c>
      <c r="G6" s="6">
        <v>4</v>
      </c>
      <c r="H6" s="8" t="s">
        <v>19</v>
      </c>
      <c r="I6" s="9">
        <v>1115</v>
      </c>
      <c r="J6" s="10">
        <v>4460</v>
      </c>
      <c r="K6" s="11">
        <v>0</v>
      </c>
      <c r="L6" s="11">
        <v>624.40000000000009</v>
      </c>
      <c r="M6" s="11">
        <v>624.40000000000009</v>
      </c>
      <c r="N6" s="11"/>
      <c r="O6" s="11">
        <v>5708.7999999999993</v>
      </c>
      <c r="P6" s="10">
        <v>5708.7999999999993</v>
      </c>
    </row>
    <row r="7" spans="1:16" ht="15.5" x14ac:dyDescent="0.35">
      <c r="A7" s="23" t="s">
        <v>16</v>
      </c>
      <c r="B7" s="12" t="s">
        <v>17</v>
      </c>
      <c r="C7" s="12">
        <v>28</v>
      </c>
      <c r="D7" s="13">
        <v>44017</v>
      </c>
      <c r="E7" s="14">
        <v>0.05</v>
      </c>
      <c r="F7" s="12" t="s">
        <v>20</v>
      </c>
      <c r="G7" s="12">
        <v>24</v>
      </c>
      <c r="H7" s="14" t="s">
        <v>19</v>
      </c>
      <c r="I7" s="15">
        <v>1115</v>
      </c>
      <c r="J7" s="16">
        <v>26760</v>
      </c>
      <c r="K7" s="17">
        <v>0</v>
      </c>
      <c r="L7" s="17">
        <v>669</v>
      </c>
      <c r="M7" s="17">
        <v>669</v>
      </c>
      <c r="N7" s="17"/>
      <c r="O7" s="17">
        <v>28098</v>
      </c>
      <c r="P7" s="16">
        <v>28098</v>
      </c>
    </row>
    <row r="8" spans="1:16" ht="15.5" x14ac:dyDescent="0.35">
      <c r="A8" s="22" t="s">
        <v>16</v>
      </c>
      <c r="B8" s="6" t="s">
        <v>17</v>
      </c>
      <c r="C8" s="6">
        <v>29</v>
      </c>
      <c r="D8" s="7">
        <v>43957</v>
      </c>
      <c r="E8" s="8">
        <v>1E-3</v>
      </c>
      <c r="F8" s="6" t="s">
        <v>18</v>
      </c>
      <c r="G8" s="6">
        <v>30</v>
      </c>
      <c r="H8" s="8" t="s">
        <v>19</v>
      </c>
      <c r="I8" s="9">
        <v>1115</v>
      </c>
      <c r="J8" s="10">
        <v>33450</v>
      </c>
      <c r="K8" s="11">
        <v>0</v>
      </c>
      <c r="L8" s="11">
        <v>16.725000000000001</v>
      </c>
      <c r="M8" s="11">
        <v>16.725000000000001</v>
      </c>
      <c r="N8" s="11"/>
      <c r="O8" s="11">
        <v>33483.449999999997</v>
      </c>
      <c r="P8" s="10">
        <v>33483.449999999997</v>
      </c>
    </row>
    <row r="9" spans="1:16" ht="15.5" x14ac:dyDescent="0.35">
      <c r="A9" s="23" t="s">
        <v>16</v>
      </c>
      <c r="B9" s="12" t="s">
        <v>17</v>
      </c>
      <c r="C9" s="12">
        <v>30</v>
      </c>
      <c r="D9" s="13">
        <v>43988</v>
      </c>
      <c r="E9" s="14">
        <v>0.03</v>
      </c>
      <c r="F9" s="12" t="s">
        <v>20</v>
      </c>
      <c r="G9" s="12">
        <v>12</v>
      </c>
      <c r="H9" s="14" t="s">
        <v>19</v>
      </c>
      <c r="I9" s="15">
        <v>1115</v>
      </c>
      <c r="J9" s="16">
        <v>13380</v>
      </c>
      <c r="K9" s="17">
        <v>0</v>
      </c>
      <c r="L9" s="17">
        <v>200.7</v>
      </c>
      <c r="M9" s="17">
        <v>200.7</v>
      </c>
      <c r="N9" s="17"/>
      <c r="O9" s="17">
        <v>13781.400000000001</v>
      </c>
      <c r="P9" s="16">
        <v>13781.400000000001</v>
      </c>
    </row>
    <row r="10" spans="1:16" ht="15.5" x14ac:dyDescent="0.35">
      <c r="A10" s="22" t="s">
        <v>22</v>
      </c>
      <c r="B10" s="6" t="s">
        <v>17</v>
      </c>
      <c r="C10" s="6">
        <v>31</v>
      </c>
      <c r="D10" s="7">
        <v>44018</v>
      </c>
      <c r="E10" s="8">
        <v>0.18</v>
      </c>
      <c r="F10" s="6" t="s">
        <v>18</v>
      </c>
      <c r="G10" s="6">
        <v>17</v>
      </c>
      <c r="H10" s="8" t="s">
        <v>19</v>
      </c>
      <c r="I10" s="9">
        <v>1115</v>
      </c>
      <c r="J10" s="10">
        <v>18955</v>
      </c>
      <c r="K10" s="11">
        <v>0</v>
      </c>
      <c r="L10" s="11">
        <v>1705.95</v>
      </c>
      <c r="M10" s="11">
        <v>1705.95</v>
      </c>
      <c r="N10" s="11"/>
      <c r="O10" s="11">
        <v>22366.9</v>
      </c>
      <c r="P10" s="10">
        <v>22366.9</v>
      </c>
    </row>
    <row r="11" spans="1:16" ht="15.5" x14ac:dyDescent="0.35">
      <c r="A11" s="23" t="s">
        <v>22</v>
      </c>
      <c r="B11" s="12" t="s">
        <v>17</v>
      </c>
      <c r="C11" s="12">
        <v>32</v>
      </c>
      <c r="D11" s="13">
        <v>43958</v>
      </c>
      <c r="E11" s="14">
        <v>1E-3</v>
      </c>
      <c r="F11" s="12" t="s">
        <v>20</v>
      </c>
      <c r="G11" s="12">
        <v>16</v>
      </c>
      <c r="H11" s="14" t="s">
        <v>19</v>
      </c>
      <c r="I11" s="15">
        <v>1115</v>
      </c>
      <c r="J11" s="16">
        <v>17840</v>
      </c>
      <c r="K11" s="17">
        <v>0</v>
      </c>
      <c r="L11" s="17">
        <v>8.92</v>
      </c>
      <c r="M11" s="17">
        <v>8.92</v>
      </c>
      <c r="N11" s="17"/>
      <c r="O11" s="17">
        <v>17857.839999999997</v>
      </c>
      <c r="P11" s="16">
        <v>17857.839999999997</v>
      </c>
    </row>
    <row r="12" spans="1:16" ht="15.5" x14ac:dyDescent="0.35">
      <c r="A12" s="22" t="s">
        <v>22</v>
      </c>
      <c r="B12" s="6" t="s">
        <v>17</v>
      </c>
      <c r="C12" s="6">
        <v>33</v>
      </c>
      <c r="D12" s="7">
        <v>43989</v>
      </c>
      <c r="E12" s="8">
        <v>0.28000000000000003</v>
      </c>
      <c r="F12" s="6" t="s">
        <v>18</v>
      </c>
      <c r="G12" s="6">
        <v>50</v>
      </c>
      <c r="H12" s="8" t="s">
        <v>19</v>
      </c>
      <c r="I12" s="9">
        <v>1115</v>
      </c>
      <c r="J12" s="10">
        <v>55750</v>
      </c>
      <c r="K12" s="11">
        <v>0</v>
      </c>
      <c r="L12" s="11">
        <v>7805.0000000000009</v>
      </c>
      <c r="M12" s="11">
        <v>7805.0000000000009</v>
      </c>
      <c r="N12" s="11"/>
      <c r="O12" s="11">
        <v>71360</v>
      </c>
      <c r="P12" s="10">
        <v>71360</v>
      </c>
    </row>
    <row r="13" spans="1:16" ht="15.5" x14ac:dyDescent="0.35">
      <c r="A13" s="23" t="s">
        <v>22</v>
      </c>
      <c r="B13" s="12" t="s">
        <v>17</v>
      </c>
      <c r="C13" s="12">
        <v>34</v>
      </c>
      <c r="D13" s="13">
        <v>44019</v>
      </c>
      <c r="E13" s="14">
        <v>0</v>
      </c>
      <c r="F13" s="12" t="s">
        <v>20</v>
      </c>
      <c r="G13" s="12">
        <v>21</v>
      </c>
      <c r="H13" s="14" t="s">
        <v>19</v>
      </c>
      <c r="I13" s="15">
        <v>1115</v>
      </c>
      <c r="J13" s="16">
        <v>23415</v>
      </c>
      <c r="K13" s="17">
        <v>0</v>
      </c>
      <c r="L13" s="17">
        <v>0</v>
      </c>
      <c r="M13" s="17">
        <v>0</v>
      </c>
      <c r="N13" s="17"/>
      <c r="O13" s="17">
        <v>23415</v>
      </c>
      <c r="P13" s="16">
        <v>23415</v>
      </c>
    </row>
    <row r="14" spans="1:16" ht="15.5" x14ac:dyDescent="0.35">
      <c r="A14" s="22" t="s">
        <v>16</v>
      </c>
      <c r="B14" s="6" t="s">
        <v>21</v>
      </c>
      <c r="C14" s="6">
        <v>35</v>
      </c>
      <c r="D14" s="7">
        <v>43959</v>
      </c>
      <c r="E14" s="18">
        <v>0.05</v>
      </c>
      <c r="F14" s="6" t="s">
        <v>18</v>
      </c>
      <c r="G14" s="19">
        <v>25</v>
      </c>
      <c r="H14" s="8" t="s">
        <v>19</v>
      </c>
      <c r="I14" s="9">
        <v>1115</v>
      </c>
      <c r="J14" s="10">
        <v>27875</v>
      </c>
      <c r="K14" s="11">
        <v>1393.75</v>
      </c>
      <c r="L14" s="11">
        <v>0</v>
      </c>
      <c r="M14" s="11">
        <v>0</v>
      </c>
      <c r="N14" s="11"/>
      <c r="O14" s="11">
        <v>29268.75</v>
      </c>
      <c r="P14" s="10">
        <v>29268.75</v>
      </c>
    </row>
    <row r="15" spans="1:16" ht="15.5" x14ac:dyDescent="0.35">
      <c r="A15" s="23" t="s">
        <v>16</v>
      </c>
      <c r="B15" s="12" t="s">
        <v>21</v>
      </c>
      <c r="C15" s="12">
        <v>36</v>
      </c>
      <c r="D15" s="13">
        <v>43990</v>
      </c>
      <c r="E15" s="20">
        <v>0.18</v>
      </c>
      <c r="F15" s="12" t="s">
        <v>20</v>
      </c>
      <c r="G15" s="21">
        <v>42</v>
      </c>
      <c r="H15" s="14" t="s">
        <v>19</v>
      </c>
      <c r="I15" s="15">
        <v>1115</v>
      </c>
      <c r="J15" s="16">
        <v>46830</v>
      </c>
      <c r="K15" s="17">
        <v>8429.4</v>
      </c>
      <c r="L15" s="17">
        <v>0</v>
      </c>
      <c r="M15" s="17">
        <v>0</v>
      </c>
      <c r="N15" s="17"/>
      <c r="O15" s="17">
        <v>55259.4</v>
      </c>
      <c r="P15" s="16">
        <v>55259.4</v>
      </c>
    </row>
    <row r="16" spans="1:16" ht="15.5" x14ac:dyDescent="0.35">
      <c r="A16" s="22" t="s">
        <v>16</v>
      </c>
      <c r="B16" s="6" t="s">
        <v>23</v>
      </c>
      <c r="C16" s="6">
        <v>37</v>
      </c>
      <c r="D16" s="7">
        <v>44020</v>
      </c>
      <c r="E16" s="18">
        <v>1E-3</v>
      </c>
      <c r="F16" s="6" t="s">
        <v>18</v>
      </c>
      <c r="G16" s="19">
        <v>32</v>
      </c>
      <c r="H16" s="8" t="s">
        <v>19</v>
      </c>
      <c r="I16" s="9">
        <v>1115</v>
      </c>
      <c r="J16" s="10">
        <v>35680</v>
      </c>
      <c r="K16" s="11">
        <v>0</v>
      </c>
      <c r="L16" s="11">
        <v>17.84</v>
      </c>
      <c r="M16" s="11">
        <v>17.84</v>
      </c>
      <c r="N16" s="11"/>
      <c r="O16" s="11">
        <v>35715.679999999993</v>
      </c>
      <c r="P16" s="10">
        <v>35715.679999999993</v>
      </c>
    </row>
    <row r="17" spans="1:16" ht="15.5" x14ac:dyDescent="0.35">
      <c r="A17" s="23" t="s">
        <v>16</v>
      </c>
      <c r="B17" s="12" t="s">
        <v>23</v>
      </c>
      <c r="C17" s="12">
        <v>38</v>
      </c>
      <c r="D17" s="13">
        <v>43960</v>
      </c>
      <c r="E17" s="20">
        <v>0</v>
      </c>
      <c r="F17" s="12" t="s">
        <v>20</v>
      </c>
      <c r="G17" s="21">
        <v>10</v>
      </c>
      <c r="H17" s="14" t="s">
        <v>19</v>
      </c>
      <c r="I17" s="15">
        <v>1115</v>
      </c>
      <c r="J17" s="16">
        <v>11150</v>
      </c>
      <c r="K17" s="17">
        <v>0</v>
      </c>
      <c r="L17" s="17">
        <v>0</v>
      </c>
      <c r="M17" s="17">
        <v>0</v>
      </c>
      <c r="N17" s="17"/>
      <c r="O17" s="17">
        <v>11150</v>
      </c>
      <c r="P17" s="16">
        <v>11150</v>
      </c>
    </row>
    <row r="18" spans="1:16" ht="15.5" x14ac:dyDescent="0.35">
      <c r="A18" s="22" t="s">
        <v>16</v>
      </c>
      <c r="B18" s="6" t="s">
        <v>23</v>
      </c>
      <c r="C18" s="6">
        <v>39</v>
      </c>
      <c r="D18" s="7">
        <v>43991</v>
      </c>
      <c r="E18" s="18">
        <v>0.28000000000000003</v>
      </c>
      <c r="F18" s="6" t="s">
        <v>18</v>
      </c>
      <c r="G18" s="19">
        <v>20</v>
      </c>
      <c r="H18" s="8" t="s">
        <v>19</v>
      </c>
      <c r="I18" s="9">
        <v>1115</v>
      </c>
      <c r="J18" s="10">
        <v>22300</v>
      </c>
      <c r="K18" s="11">
        <v>0</v>
      </c>
      <c r="L18" s="11">
        <v>3122.0000000000005</v>
      </c>
      <c r="M18" s="11">
        <v>3122.0000000000005</v>
      </c>
      <c r="N18" s="11"/>
      <c r="O18" s="11">
        <v>28544</v>
      </c>
      <c r="P18" s="10">
        <v>28544</v>
      </c>
    </row>
    <row r="19" spans="1:16" ht="15.5" x14ac:dyDescent="0.35">
      <c r="A19" s="23" t="s">
        <v>22</v>
      </c>
      <c r="B19" s="12" t="s">
        <v>23</v>
      </c>
      <c r="C19" s="12">
        <v>40</v>
      </c>
      <c r="D19" s="13">
        <v>44021</v>
      </c>
      <c r="E19" s="20">
        <v>0.12</v>
      </c>
      <c r="F19" s="12" t="s">
        <v>20</v>
      </c>
      <c r="G19" s="21">
        <v>30</v>
      </c>
      <c r="H19" s="14" t="s">
        <v>19</v>
      </c>
      <c r="I19" s="15">
        <v>1115</v>
      </c>
      <c r="J19" s="16">
        <v>33450</v>
      </c>
      <c r="K19" s="17">
        <v>0</v>
      </c>
      <c r="L19" s="17">
        <v>2007</v>
      </c>
      <c r="M19" s="17">
        <v>2007</v>
      </c>
      <c r="N19" s="17"/>
      <c r="O19" s="17">
        <v>37464</v>
      </c>
      <c r="P19" s="16">
        <v>37464</v>
      </c>
    </row>
    <row r="20" spans="1:16" ht="15.5" x14ac:dyDescent="0.35">
      <c r="A20" s="22" t="s">
        <v>22</v>
      </c>
      <c r="B20" s="6" t="s">
        <v>21</v>
      </c>
      <c r="C20" s="6">
        <v>41</v>
      </c>
      <c r="D20" s="7">
        <v>43961</v>
      </c>
      <c r="E20" s="18">
        <v>0.03</v>
      </c>
      <c r="F20" s="6" t="s">
        <v>18</v>
      </c>
      <c r="G20" s="19">
        <v>45</v>
      </c>
      <c r="H20" s="8" t="s">
        <v>19</v>
      </c>
      <c r="I20" s="9">
        <v>1115</v>
      </c>
      <c r="J20" s="10">
        <v>50175</v>
      </c>
      <c r="K20" s="11">
        <v>1505.25</v>
      </c>
      <c r="L20" s="11">
        <v>0</v>
      </c>
      <c r="M20" s="11">
        <v>0</v>
      </c>
      <c r="N20" s="11"/>
      <c r="O20" s="11">
        <v>51680.25</v>
      </c>
      <c r="P20" s="10">
        <v>51680.25</v>
      </c>
    </row>
    <row r="21" spans="1:16" ht="15.5" x14ac:dyDescent="0.35">
      <c r="A21" s="23" t="s">
        <v>22</v>
      </c>
      <c r="B21" s="12" t="s">
        <v>23</v>
      </c>
      <c r="C21" s="12">
        <v>42</v>
      </c>
      <c r="D21" s="13">
        <v>43992</v>
      </c>
      <c r="E21" s="20">
        <v>0.05</v>
      </c>
      <c r="F21" s="12" t="s">
        <v>20</v>
      </c>
      <c r="G21" s="21">
        <v>62</v>
      </c>
      <c r="H21" s="14" t="s">
        <v>19</v>
      </c>
      <c r="I21" s="15">
        <v>1115</v>
      </c>
      <c r="J21" s="16">
        <v>69130</v>
      </c>
      <c r="K21" s="17">
        <v>0</v>
      </c>
      <c r="L21" s="17">
        <v>1728.25</v>
      </c>
      <c r="M21" s="17">
        <v>1728.25</v>
      </c>
      <c r="N21" s="17"/>
      <c r="O21" s="17">
        <v>72586.5</v>
      </c>
      <c r="P21" s="16">
        <v>72586.5</v>
      </c>
    </row>
    <row r="22" spans="1:16" ht="15.5" x14ac:dyDescent="0.35">
      <c r="A22" s="22" t="s">
        <v>22</v>
      </c>
      <c r="B22" s="6" t="s">
        <v>23</v>
      </c>
      <c r="C22" s="6">
        <v>43</v>
      </c>
      <c r="D22" s="7">
        <v>44022</v>
      </c>
      <c r="E22" s="18">
        <v>0</v>
      </c>
      <c r="F22" s="6" t="s">
        <v>18</v>
      </c>
      <c r="G22" s="19">
        <v>12</v>
      </c>
      <c r="H22" s="8" t="s">
        <v>19</v>
      </c>
      <c r="I22" s="9">
        <v>1115</v>
      </c>
      <c r="J22" s="10">
        <v>13380</v>
      </c>
      <c r="K22" s="11">
        <v>0</v>
      </c>
      <c r="L22" s="11">
        <v>0</v>
      </c>
      <c r="M22" s="11">
        <v>0</v>
      </c>
      <c r="N22" s="11"/>
      <c r="O22" s="11">
        <v>13380</v>
      </c>
      <c r="P22" s="10">
        <v>13380</v>
      </c>
    </row>
    <row r="23" spans="1:16" ht="15.5" x14ac:dyDescent="0.35">
      <c r="A23" s="23" t="s">
        <v>22</v>
      </c>
      <c r="B23" s="12" t="s">
        <v>23</v>
      </c>
      <c r="C23" s="12">
        <v>44</v>
      </c>
      <c r="D23" s="13">
        <v>43962</v>
      </c>
      <c r="E23" s="20">
        <v>0</v>
      </c>
      <c r="F23" s="12" t="s">
        <v>20</v>
      </c>
      <c r="G23" s="21">
        <v>25</v>
      </c>
      <c r="H23" s="14" t="s">
        <v>19</v>
      </c>
      <c r="I23" s="15">
        <v>1115</v>
      </c>
      <c r="J23" s="16">
        <v>27875</v>
      </c>
      <c r="K23" s="17">
        <v>0</v>
      </c>
      <c r="L23" s="17">
        <v>0</v>
      </c>
      <c r="M23" s="17">
        <v>0</v>
      </c>
      <c r="N23" s="17"/>
      <c r="O23" s="17">
        <v>27875</v>
      </c>
      <c r="P23" s="16">
        <v>27875</v>
      </c>
    </row>
    <row r="24" spans="1:16" ht="15.5" x14ac:dyDescent="0.35">
      <c r="A24" s="22" t="s">
        <v>22</v>
      </c>
      <c r="B24" s="6" t="s">
        <v>23</v>
      </c>
      <c r="C24" s="6">
        <v>45</v>
      </c>
      <c r="D24" s="7">
        <v>43993</v>
      </c>
      <c r="E24" s="18">
        <v>0.12</v>
      </c>
      <c r="F24" s="6" t="s">
        <v>18</v>
      </c>
      <c r="G24" s="19">
        <v>45</v>
      </c>
      <c r="H24" s="8" t="s">
        <v>19</v>
      </c>
      <c r="I24" s="9">
        <v>1115</v>
      </c>
      <c r="J24" s="10">
        <v>50175</v>
      </c>
      <c r="K24" s="11">
        <v>0</v>
      </c>
      <c r="L24" s="11">
        <v>3010.5</v>
      </c>
      <c r="M24" s="11">
        <v>3010.5</v>
      </c>
      <c r="N24" s="11"/>
      <c r="O24" s="11">
        <v>56196</v>
      </c>
      <c r="P24" s="10">
        <v>56196</v>
      </c>
    </row>
    <row r="25" spans="1:16" ht="15.5" x14ac:dyDescent="0.35">
      <c r="A25" s="23" t="s">
        <v>22</v>
      </c>
      <c r="B25" s="12" t="s">
        <v>23</v>
      </c>
      <c r="C25" s="12">
        <v>46</v>
      </c>
      <c r="D25" s="13">
        <v>44023</v>
      </c>
      <c r="E25" s="20">
        <v>0.12</v>
      </c>
      <c r="F25" s="12" t="s">
        <v>20</v>
      </c>
      <c r="G25" s="21">
        <v>20</v>
      </c>
      <c r="H25" s="14" t="s">
        <v>19</v>
      </c>
      <c r="I25" s="15">
        <v>1115</v>
      </c>
      <c r="J25" s="16">
        <v>22300</v>
      </c>
      <c r="K25" s="17">
        <v>0</v>
      </c>
      <c r="L25" s="17">
        <v>1338</v>
      </c>
      <c r="M25" s="17">
        <v>1338</v>
      </c>
      <c r="N25" s="17"/>
      <c r="O25" s="17">
        <v>24976</v>
      </c>
      <c r="P25" s="16">
        <v>24976</v>
      </c>
    </row>
    <row r="26" spans="1:16" ht="15.5" x14ac:dyDescent="0.35">
      <c r="A26" s="22" t="s">
        <v>22</v>
      </c>
      <c r="B26" s="6" t="s">
        <v>23</v>
      </c>
      <c r="C26" s="6">
        <v>47</v>
      </c>
      <c r="D26" s="7">
        <v>43963</v>
      </c>
      <c r="E26" s="18">
        <v>0.03</v>
      </c>
      <c r="F26" s="6" t="s">
        <v>18</v>
      </c>
      <c r="G26" s="19">
        <v>10</v>
      </c>
      <c r="H26" s="8" t="s">
        <v>19</v>
      </c>
      <c r="I26" s="9">
        <v>1115</v>
      </c>
      <c r="J26" s="10">
        <v>11150</v>
      </c>
      <c r="K26" s="11">
        <v>0</v>
      </c>
      <c r="L26" s="11">
        <v>167.25</v>
      </c>
      <c r="M26" s="11">
        <v>167.25</v>
      </c>
      <c r="N26" s="11"/>
      <c r="O26" s="11">
        <v>11484.5</v>
      </c>
      <c r="P26" s="10">
        <v>11484.5</v>
      </c>
    </row>
    <row r="27" spans="1:16" ht="15.5" x14ac:dyDescent="0.35">
      <c r="A27" s="23" t="s">
        <v>16</v>
      </c>
      <c r="B27" s="12" t="s">
        <v>23</v>
      </c>
      <c r="C27" s="12">
        <v>48</v>
      </c>
      <c r="D27" s="13">
        <v>43994</v>
      </c>
      <c r="E27" s="20">
        <v>0.28000000000000003</v>
      </c>
      <c r="F27" s="12" t="s">
        <v>20</v>
      </c>
      <c r="G27" s="21">
        <v>35</v>
      </c>
      <c r="H27" s="14" t="s">
        <v>19</v>
      </c>
      <c r="I27" s="15">
        <v>1115</v>
      </c>
      <c r="J27" s="16">
        <v>39025</v>
      </c>
      <c r="K27" s="17">
        <v>0</v>
      </c>
      <c r="L27" s="17">
        <v>5463.5000000000009</v>
      </c>
      <c r="M27" s="17">
        <v>5463.5000000000009</v>
      </c>
      <c r="N27" s="17"/>
      <c r="O27" s="17">
        <v>49952</v>
      </c>
      <c r="P27" s="16">
        <v>49952</v>
      </c>
    </row>
    <row r="28" spans="1:16" ht="15.5" x14ac:dyDescent="0.35">
      <c r="A28" s="22" t="s">
        <v>16</v>
      </c>
      <c r="B28" s="6" t="s">
        <v>23</v>
      </c>
      <c r="C28" s="6">
        <v>49</v>
      </c>
      <c r="D28" s="7">
        <v>44024</v>
      </c>
      <c r="E28" s="18">
        <v>0.12</v>
      </c>
      <c r="F28" s="6" t="s">
        <v>18</v>
      </c>
      <c r="G28" s="19">
        <v>15</v>
      </c>
      <c r="H28" s="8" t="s">
        <v>19</v>
      </c>
      <c r="I28" s="9">
        <v>1115</v>
      </c>
      <c r="J28" s="10">
        <v>16725</v>
      </c>
      <c r="K28" s="11">
        <v>0</v>
      </c>
      <c r="L28" s="11">
        <v>1003.5</v>
      </c>
      <c r="M28" s="11">
        <v>1003.5</v>
      </c>
      <c r="N28" s="11"/>
      <c r="O28" s="11">
        <v>18732</v>
      </c>
      <c r="P28" s="10">
        <v>18732</v>
      </c>
    </row>
    <row r="29" spans="1:16" ht="15.5" x14ac:dyDescent="0.35">
      <c r="A29" s="23" t="s">
        <v>16</v>
      </c>
      <c r="B29" s="12" t="s">
        <v>23</v>
      </c>
      <c r="C29" s="12">
        <v>50</v>
      </c>
      <c r="D29" s="13">
        <v>44317</v>
      </c>
      <c r="E29" s="20">
        <v>0.03</v>
      </c>
      <c r="F29" s="12" t="s">
        <v>20</v>
      </c>
      <c r="G29" s="21">
        <v>25</v>
      </c>
      <c r="H29" s="14" t="s">
        <v>19</v>
      </c>
      <c r="I29" s="15">
        <v>1115</v>
      </c>
      <c r="J29" s="16">
        <v>27875</v>
      </c>
      <c r="K29" s="17">
        <v>0</v>
      </c>
      <c r="L29" s="17">
        <v>418.125</v>
      </c>
      <c r="M29" s="17">
        <v>418.125</v>
      </c>
      <c r="N29" s="17"/>
      <c r="O29" s="17">
        <v>28711.25</v>
      </c>
      <c r="P29" s="16">
        <v>28711.25</v>
      </c>
    </row>
    <row r="30" spans="1:16" ht="15.5" x14ac:dyDescent="0.35">
      <c r="A30" s="22" t="s">
        <v>16</v>
      </c>
      <c r="B30" s="6" t="s">
        <v>23</v>
      </c>
      <c r="C30" s="6">
        <v>51</v>
      </c>
      <c r="D30" s="7">
        <v>44348</v>
      </c>
      <c r="E30" s="18">
        <v>0.28000000000000003</v>
      </c>
      <c r="F30" s="6" t="s">
        <v>18</v>
      </c>
      <c r="G30" s="19">
        <v>10</v>
      </c>
      <c r="H30" s="8" t="s">
        <v>19</v>
      </c>
      <c r="I30" s="9">
        <v>1115</v>
      </c>
      <c r="J30" s="10">
        <v>11150</v>
      </c>
      <c r="K30" s="11">
        <v>0</v>
      </c>
      <c r="L30" s="11">
        <v>1561.0000000000002</v>
      </c>
      <c r="M30" s="11">
        <v>1561.0000000000002</v>
      </c>
      <c r="N30" s="11"/>
      <c r="O30" s="11">
        <v>14272</v>
      </c>
      <c r="P30" s="10">
        <v>14272</v>
      </c>
    </row>
    <row r="31" spans="1:16" ht="15.5" x14ac:dyDescent="0.35">
      <c r="A31" s="23" t="s">
        <v>16</v>
      </c>
      <c r="B31" s="12" t="s">
        <v>23</v>
      </c>
      <c r="C31" s="12">
        <v>52</v>
      </c>
      <c r="D31" s="13">
        <v>44378</v>
      </c>
      <c r="E31" s="20">
        <v>0.05</v>
      </c>
      <c r="F31" s="12" t="s">
        <v>20</v>
      </c>
      <c r="G31" s="21">
        <v>5</v>
      </c>
      <c r="H31" s="14" t="s">
        <v>19</v>
      </c>
      <c r="I31" s="15">
        <v>1115</v>
      </c>
      <c r="J31" s="16">
        <v>5575</v>
      </c>
      <c r="K31" s="17">
        <v>0</v>
      </c>
      <c r="L31" s="17">
        <v>139.375</v>
      </c>
      <c r="M31" s="17">
        <v>139.375</v>
      </c>
      <c r="N31" s="17"/>
      <c r="O31" s="17">
        <v>5853.75</v>
      </c>
      <c r="P31" s="16">
        <v>5853.75</v>
      </c>
    </row>
    <row r="32" spans="1:16" ht="15.5" x14ac:dyDescent="0.35">
      <c r="A32" s="22" t="s">
        <v>22</v>
      </c>
      <c r="B32" s="6" t="s">
        <v>23</v>
      </c>
      <c r="C32" s="6">
        <v>53</v>
      </c>
      <c r="D32" s="7">
        <v>44318</v>
      </c>
      <c r="E32" s="18">
        <v>0.03</v>
      </c>
      <c r="F32" s="6" t="s">
        <v>18</v>
      </c>
      <c r="G32" s="19">
        <v>8</v>
      </c>
      <c r="H32" s="8" t="s">
        <v>19</v>
      </c>
      <c r="I32" s="9">
        <v>1115</v>
      </c>
      <c r="J32" s="10">
        <v>8920</v>
      </c>
      <c r="K32" s="11">
        <v>0</v>
      </c>
      <c r="L32" s="11">
        <v>133.79999999999998</v>
      </c>
      <c r="M32" s="11">
        <v>133.79999999999998</v>
      </c>
      <c r="N32" s="11"/>
      <c r="O32" s="11">
        <v>9187.5999999999985</v>
      </c>
      <c r="P32" s="10">
        <v>9187.5999999999985</v>
      </c>
    </row>
    <row r="33" spans="1:16" ht="15.5" x14ac:dyDescent="0.35">
      <c r="A33" s="23" t="s">
        <v>22</v>
      </c>
      <c r="B33" s="12" t="s">
        <v>23</v>
      </c>
      <c r="C33" s="12">
        <v>54</v>
      </c>
      <c r="D33" s="13">
        <v>44349</v>
      </c>
      <c r="E33" s="20">
        <v>0.05</v>
      </c>
      <c r="F33" s="12" t="s">
        <v>20</v>
      </c>
      <c r="G33" s="21">
        <v>10</v>
      </c>
      <c r="H33" s="14" t="s">
        <v>19</v>
      </c>
      <c r="I33" s="15">
        <v>1115</v>
      </c>
      <c r="J33" s="16">
        <v>11150</v>
      </c>
      <c r="K33" s="17">
        <v>0</v>
      </c>
      <c r="L33" s="17">
        <v>278.75</v>
      </c>
      <c r="M33" s="17">
        <v>278.75</v>
      </c>
      <c r="N33" s="17"/>
      <c r="O33" s="17">
        <v>11707.5</v>
      </c>
      <c r="P33" s="16">
        <v>11707.5</v>
      </c>
    </row>
    <row r="34" spans="1:16" ht="15.5" x14ac:dyDescent="0.35">
      <c r="A34" s="22" t="s">
        <v>22</v>
      </c>
      <c r="B34" s="6" t="s">
        <v>23</v>
      </c>
      <c r="C34" s="6">
        <v>55</v>
      </c>
      <c r="D34" s="7">
        <v>44379</v>
      </c>
      <c r="E34" s="18">
        <v>0.05</v>
      </c>
      <c r="F34" s="6" t="s">
        <v>18</v>
      </c>
      <c r="G34" s="19">
        <v>2</v>
      </c>
      <c r="H34" s="8" t="s">
        <v>19</v>
      </c>
      <c r="I34" s="9">
        <v>1115</v>
      </c>
      <c r="J34" s="10">
        <v>2230</v>
      </c>
      <c r="K34" s="11">
        <v>0</v>
      </c>
      <c r="L34" s="11">
        <v>55.75</v>
      </c>
      <c r="M34" s="11">
        <v>55.75</v>
      </c>
      <c r="N34" s="11"/>
      <c r="O34" s="11">
        <v>2341.5</v>
      </c>
      <c r="P34" s="10">
        <v>2341.5</v>
      </c>
    </row>
    <row r="35" spans="1:16" ht="15.5" x14ac:dyDescent="0.35">
      <c r="A35" s="23" t="s">
        <v>22</v>
      </c>
      <c r="B35" s="12" t="s">
        <v>23</v>
      </c>
      <c r="C35" s="12">
        <v>56</v>
      </c>
      <c r="D35" s="13">
        <v>44319</v>
      </c>
      <c r="E35" s="20">
        <v>0.28000000000000003</v>
      </c>
      <c r="F35" s="12" t="s">
        <v>20</v>
      </c>
      <c r="G35" s="21">
        <v>4</v>
      </c>
      <c r="H35" s="14" t="s">
        <v>19</v>
      </c>
      <c r="I35" s="15">
        <v>1115</v>
      </c>
      <c r="J35" s="16">
        <v>4460</v>
      </c>
      <c r="K35" s="17">
        <v>0</v>
      </c>
      <c r="L35" s="17">
        <v>624.40000000000009</v>
      </c>
      <c r="M35" s="17">
        <v>624.40000000000009</v>
      </c>
      <c r="N35" s="17"/>
      <c r="O35" s="17">
        <v>5708.7999999999993</v>
      </c>
      <c r="P35" s="16">
        <v>5708.7999999999993</v>
      </c>
    </row>
    <row r="36" spans="1:16" ht="15.5" x14ac:dyDescent="0.35">
      <c r="A36" s="22" t="s">
        <v>16</v>
      </c>
      <c r="B36" s="6" t="s">
        <v>23</v>
      </c>
      <c r="C36" s="6">
        <v>57</v>
      </c>
      <c r="D36" s="7">
        <v>44350</v>
      </c>
      <c r="E36" s="18">
        <v>1E-3</v>
      </c>
      <c r="F36" s="6" t="s">
        <v>18</v>
      </c>
      <c r="G36" s="19">
        <v>6</v>
      </c>
      <c r="H36" s="8" t="s">
        <v>19</v>
      </c>
      <c r="I36" s="9">
        <v>1115</v>
      </c>
      <c r="J36" s="10">
        <v>6690</v>
      </c>
      <c r="K36" s="11">
        <v>0</v>
      </c>
      <c r="L36" s="11">
        <v>3.3450000000000002</v>
      </c>
      <c r="M36" s="11">
        <v>3.3450000000000002</v>
      </c>
      <c r="N36" s="11"/>
      <c r="O36" s="11">
        <v>6696.6900000000005</v>
      </c>
      <c r="P36" s="10">
        <v>6696.6900000000005</v>
      </c>
    </row>
    <row r="37" spans="1:16" ht="15.5" x14ac:dyDescent="0.35">
      <c r="A37" s="23" t="s">
        <v>16</v>
      </c>
      <c r="B37" s="12" t="s">
        <v>23</v>
      </c>
      <c r="C37" s="12">
        <v>58</v>
      </c>
      <c r="D37" s="13">
        <v>44380</v>
      </c>
      <c r="E37" s="20">
        <v>0</v>
      </c>
      <c r="F37" s="12" t="s">
        <v>20</v>
      </c>
      <c r="G37" s="21">
        <v>5</v>
      </c>
      <c r="H37" s="14" t="s">
        <v>19</v>
      </c>
      <c r="I37" s="15">
        <v>1115</v>
      </c>
      <c r="J37" s="16">
        <v>5575</v>
      </c>
      <c r="K37" s="17">
        <v>0</v>
      </c>
      <c r="L37" s="17">
        <v>0</v>
      </c>
      <c r="M37" s="17">
        <v>0</v>
      </c>
      <c r="N37" s="17"/>
      <c r="O37" s="17">
        <v>5575</v>
      </c>
      <c r="P37" s="16">
        <v>5575</v>
      </c>
    </row>
  </sheetData>
  <conditionalFormatting sqref="A10:A13 A19:A26 A32:A35">
    <cfRule type="expression" dxfId="12" priority="9">
      <formula>IF(ISBLANK(#REF!), 0, SEARCH(#REF!,$A10&amp;#REF!&amp;$B4&amp;$C4&amp;#REF!&amp;$J4))</formula>
    </cfRule>
  </conditionalFormatting>
  <conditionalFormatting sqref="A12:A13">
    <cfRule type="expression" dxfId="11" priority="6">
      <formula>IF(ISBLANK(#REF!), 0, SEARCH(#REF!,$A12&amp;#REF!&amp;$B6&amp;$C6&amp;#REF!&amp;$E6))</formula>
    </cfRule>
  </conditionalFormatting>
  <conditionalFormatting sqref="A21:A22 A25:A26 A34:A35">
    <cfRule type="expression" dxfId="10" priority="13">
      <formula>IF(ISBLANK(#REF!), 0, SEARCH(#REF!,$A21&amp;#REF!&amp;$B15&amp;$C15&amp;#REF!&amp;$E15))</formula>
    </cfRule>
  </conditionalFormatting>
  <conditionalFormatting sqref="B14:B37 E16:E37 G16:G37 J16:J37">
    <cfRule type="expression" dxfId="9" priority="2">
      <formula>IF(ISBLANK(#REF!), 0, SEARCH(#REF!,$A14&amp;#REF!&amp;$B14&amp;$D14&amp;#REF!&amp;$J14))</formula>
    </cfRule>
  </conditionalFormatting>
  <conditionalFormatting sqref="B16:B37 E16:E37 G16:G37 J16:J37">
    <cfRule type="expression" dxfId="8" priority="1">
      <formula>IF(ISBLANK(#REF!), 0, SEARCH(#REF!,$A16&amp;#REF!&amp;$B16&amp;$D16&amp;#REF!&amp;$E16))</formula>
    </cfRule>
  </conditionalFormatting>
  <conditionalFormatting sqref="C2:C3 E2:J3 A4:A9 B4:C13 F4:F37 H4:I37 C14:C37">
    <cfRule type="expression" dxfId="7" priority="5">
      <formula>IF(ISBLANK(#REF!), 0, SEARCH(#REF!,$A2&amp;#REF!&amp;$B2&amp;$C2&amp;#REF!&amp;$J2))</formula>
    </cfRule>
  </conditionalFormatting>
  <conditionalFormatting sqref="D2:D37 A16:A18 A29:A31 A37">
    <cfRule type="expression" dxfId="6" priority="12">
      <formula>IF(ISBLANK(#REF!), 0, SEARCH(#REF!,$A2&amp;#REF!&amp;$B2&amp;$C2&amp;#REF!&amp;$J2))</formula>
    </cfRule>
  </conditionalFormatting>
  <conditionalFormatting sqref="E4:E9 G4:G9 J4:J9">
    <cfRule type="expression" dxfId="5" priority="10">
      <formula>IF(ISBLANK(#REF!), 0, SEARCH(#REF!,$A10&amp;#REF!&amp;$B4&amp;$C4&amp;#REF!&amp;$J4))</formula>
    </cfRule>
  </conditionalFormatting>
  <conditionalFormatting sqref="E6:E9 G6:G9 J6:J9">
    <cfRule type="expression" dxfId="4" priority="7">
      <formula>IF(ISBLANK(#REF!), 0, SEARCH(#REF!,$A12&amp;#REF!&amp;$B6&amp;$C6&amp;#REF!&amp;$E6))</formula>
    </cfRule>
  </conditionalFormatting>
  <conditionalFormatting sqref="E10:E13 G10:G13 J10:J13">
    <cfRule type="expression" dxfId="3" priority="8">
      <formula>IF(ISBLANK(#REF!), 0, SEARCH(#REF!,#REF!&amp;#REF!&amp;$B10&amp;$C10&amp;#REF!&amp;$E10))</formula>
    </cfRule>
    <cfRule type="expression" dxfId="2" priority="11">
      <formula>IF(ISBLANK(#REF!), 0, SEARCH(#REF!,#REF!&amp;#REF!&amp;$B10&amp;$C10&amp;#REF!&amp;$J10))</formula>
    </cfRule>
  </conditionalFormatting>
  <conditionalFormatting sqref="E14:E15 G14:G15 J14:J15">
    <cfRule type="expression" dxfId="1" priority="3">
      <formula>IF(ISBLANK(#REF!), 0, SEARCH(#REF!,#REF!&amp;#REF!&amp;$B14&amp;$D14&amp;#REF!&amp;$E14))</formula>
    </cfRule>
    <cfRule type="expression" dxfId="0"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FIRM WISE</vt:lpstr>
      <vt:lpstr>MONTH WISE</vt:lpstr>
      <vt:lpstr>TAX WISE</vt:lpstr>
      <vt:lpstr>PRODUCT WISE</vt:lpstr>
      <vt:lpstr>Form_wise</vt:lpstr>
      <vt:lpstr>Month_wise</vt:lpstr>
      <vt:lpstr>Tax_wise</vt:lpstr>
      <vt:lpstr>Product_wise</vt:lpstr>
      <vt:lpstr>State_wise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Puneet Verma</cp:lastModifiedBy>
  <dcterms:created xsi:type="dcterms:W3CDTF">2020-04-22T22:10:47Z</dcterms:created>
  <dcterms:modified xsi:type="dcterms:W3CDTF">2026-03-23T18:12:31Z</dcterms:modified>
</cp:coreProperties>
</file>